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defaultThemeVersion="202300"/>
  <mc:AlternateContent xmlns:mc="http://schemas.openxmlformats.org/markup-compatibility/2006">
    <mc:Choice Requires="x15">
      <x15ac:absPath xmlns:x15ac="http://schemas.microsoft.com/office/spreadsheetml/2010/11/ac" url="D:\Projects\In works\models\"/>
    </mc:Choice>
  </mc:AlternateContent>
  <xr:revisionPtr revIDLastSave="0" documentId="13_ncr:1_{C92DAC1E-4D8E-4D43-919A-EEE4D25A8224}" xr6:coauthVersionLast="47" xr6:coauthVersionMax="47" xr10:uidLastSave="{00000000-0000-0000-0000-000000000000}"/>
  <bookViews>
    <workbookView xWindow="-34886" yWindow="-1875" windowWidth="34995" windowHeight="19060" activeTab="2" xr2:uid="{92185AE6-03CE-4E77-B2A6-3D07E4A28618}"/>
  </bookViews>
  <sheets>
    <sheet name="DCF" sheetId="2" r:id="rId1"/>
    <sheet name="AAPL_DCF" sheetId="6" r:id="rId2"/>
    <sheet name="SNAP_DCF" sheetId="17" r:id="rId3"/>
  </sheets>
  <externalReferences>
    <externalReference r:id="rId4"/>
    <externalReference r:id="rId5"/>
  </externalReferences>
  <definedNames>
    <definedName name="_ITEM1" localSheetId="1">'[1]Roles &amp; Responsibilities BLANK'!#REF!</definedName>
    <definedName name="_ITEM1" localSheetId="0">'[1]Roles &amp; Responsibilities BLANK'!#REF!</definedName>
    <definedName name="_ITEM1" localSheetId="2">'[1]Roles &amp; Responsibilities BLANK'!#REF!</definedName>
    <definedName name="_ITEM1">'[1]Roles &amp; Responsibilities BLANK'!#REF!</definedName>
    <definedName name="_ITEM2" localSheetId="1">'[1]Roles &amp; Responsibilities BLANK'!#REF!</definedName>
    <definedName name="_ITEM2" localSheetId="0">'[1]Roles &amp; Responsibilities BLANK'!#REF!</definedName>
    <definedName name="_ITEM2" localSheetId="2">'[1]Roles &amp; Responsibilities BLANK'!#REF!</definedName>
    <definedName name="_ITEM2">'[1]Roles &amp; Responsibilities BLANK'!#REF!</definedName>
    <definedName name="_ITEM3" localSheetId="1">'[1]Roles &amp; Responsibilities BLANK'!#REF!</definedName>
    <definedName name="_ITEM3" localSheetId="0">'[1]Roles &amp; Responsibilities BLANK'!#REF!</definedName>
    <definedName name="_ITEM3" localSheetId="2">'[1]Roles &amp; Responsibilities BLANK'!#REF!</definedName>
    <definedName name="_ITEM3">'[1]Roles &amp; Responsibilities BLANK'!#REF!</definedName>
    <definedName name="_ITEM4" localSheetId="1">'[1]Roles &amp; Responsibilities BLANK'!#REF!</definedName>
    <definedName name="_ITEM4" localSheetId="0">'[1]Roles &amp; Responsibilities BLANK'!#REF!</definedName>
    <definedName name="_ITEM4" localSheetId="2">'[1]Roles &amp; Responsibilities BLANK'!#REF!</definedName>
    <definedName name="_ITEM4">'[1]Roles &amp; Responsibilities BLANK'!#REF!</definedName>
    <definedName name="_ITEM5" localSheetId="1">'[1]Roles &amp; Responsibilities BLANK'!#REF!</definedName>
    <definedName name="_ITEM5" localSheetId="0">'[1]Roles &amp; Responsibilities BLANK'!#REF!</definedName>
    <definedName name="_ITEM5" localSheetId="2">'[1]Roles &amp; Responsibilities BLANK'!#REF!</definedName>
    <definedName name="_ITEM5">'[1]Roles &amp; Responsibilities BLANK'!#REF!</definedName>
    <definedName name="_ITEM6" localSheetId="1">'[1]Roles &amp; Responsibilities BLANK'!#REF!</definedName>
    <definedName name="_ITEM6" localSheetId="0">'[1]Roles &amp; Responsibilities BLANK'!#REF!</definedName>
    <definedName name="_ITEM6" localSheetId="2">'[1]Roles &amp; Responsibilities BLANK'!#REF!</definedName>
    <definedName name="_ITEM6">'[1]Roles &amp; Responsibilities BLANK'!#REF!</definedName>
    <definedName name="EV" localSheetId="1">AAPL_DCF!$C$79</definedName>
    <definedName name="EV" localSheetId="0">DCF!$C$79</definedName>
    <definedName name="EV" localSheetId="2">SNAP_DCF!$C$79</definedName>
    <definedName name="EV">#REF!</definedName>
    <definedName name="_xlnm.Print_Area" localSheetId="1">AAPL_DCF!$B$1:$M$96</definedName>
    <definedName name="_xlnm.Print_Area" localSheetId="0">DCF!$B$1:$M$96</definedName>
    <definedName name="_xlnm.Print_Area" localSheetId="2">SNAP_DCF!$B$1:$M$96</definedName>
    <definedName name="Type" localSheetId="1">'[2]Maintenance Work Order'!#REF!</definedName>
    <definedName name="Type" localSheetId="0">'[2]Maintenance Work Order'!#REF!</definedName>
    <definedName name="Type" localSheetId="2">'[2]Maintenance Work Order'!#REF!</definedName>
    <definedName name="Type">'[2]Maintenance Work Order'!#REF!</definedName>
    <definedName name="WACC" localSheetId="1">AAPL_DCF!$C$61</definedName>
    <definedName name="WACC" localSheetId="0">DCF!$C$61</definedName>
    <definedName name="WACC" localSheetId="2">SNAP_DCF!$C$61</definedName>
    <definedName name="WACC">#REF!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9" i="17" l="1"/>
  <c r="C82" i="17"/>
  <c r="F71" i="17"/>
  <c r="E71" i="17"/>
  <c r="D71" i="17"/>
  <c r="F70" i="17"/>
  <c r="G70" i="17" s="1"/>
  <c r="E70" i="17"/>
  <c r="D70" i="17"/>
  <c r="C70" i="17"/>
  <c r="F68" i="17"/>
  <c r="E68" i="17"/>
  <c r="D68" i="17"/>
  <c r="G68" i="17" s="1"/>
  <c r="L67" i="17"/>
  <c r="F66" i="17"/>
  <c r="E66" i="17"/>
  <c r="E72" i="17" s="1"/>
  <c r="C66" i="17"/>
  <c r="F65" i="17"/>
  <c r="E65" i="17"/>
  <c r="D65" i="17"/>
  <c r="D66" i="17" s="1"/>
  <c r="C65" i="17"/>
  <c r="C59" i="17"/>
  <c r="C53" i="17"/>
  <c r="C52" i="17" a="1"/>
  <c r="C52" i="17" s="1"/>
  <c r="F43" i="17"/>
  <c r="C37" i="17"/>
  <c r="C36" i="17"/>
  <c r="G35" i="17"/>
  <c r="F35" i="17"/>
  <c r="I35" i="17" s="1"/>
  <c r="G34" i="17"/>
  <c r="G36" i="17" s="1"/>
  <c r="F34" i="17"/>
  <c r="I34" i="17" s="1"/>
  <c r="G33" i="17"/>
  <c r="F33" i="17"/>
  <c r="I33" i="17" s="1"/>
  <c r="G32" i="17"/>
  <c r="F32" i="17"/>
  <c r="I32" i="17" s="1"/>
  <c r="G31" i="17"/>
  <c r="F31" i="17"/>
  <c r="F25" i="17"/>
  <c r="E25" i="17"/>
  <c r="D25" i="17"/>
  <c r="C25" i="17"/>
  <c r="G25" i="17" s="1"/>
  <c r="H25" i="17" s="1"/>
  <c r="I25" i="17" s="1"/>
  <c r="J25" i="17" s="1"/>
  <c r="K25" i="17" s="1"/>
  <c r="L24" i="17"/>
  <c r="F23" i="17"/>
  <c r="E23" i="17"/>
  <c r="D23" i="17"/>
  <c r="C23" i="17"/>
  <c r="L22" i="17"/>
  <c r="F19" i="17"/>
  <c r="E19" i="17"/>
  <c r="D19" i="17"/>
  <c r="C19" i="17"/>
  <c r="F18" i="17"/>
  <c r="E18" i="17"/>
  <c r="D18" i="17"/>
  <c r="C18" i="17"/>
  <c r="F17" i="17"/>
  <c r="E17" i="17"/>
  <c r="D17" i="17"/>
  <c r="G17" i="17" s="1"/>
  <c r="G16" i="17" s="1"/>
  <c r="L16" i="17"/>
  <c r="F14" i="17"/>
  <c r="E14" i="17"/>
  <c r="E15" i="17" s="1"/>
  <c r="D14" i="17"/>
  <c r="D15" i="17" s="1"/>
  <c r="C14" i="17"/>
  <c r="C15" i="17" s="1"/>
  <c r="L13" i="17"/>
  <c r="F12" i="17"/>
  <c r="E12" i="17"/>
  <c r="D12" i="17"/>
  <c r="G12" i="17" s="1"/>
  <c r="L11" i="17"/>
  <c r="F10" i="17"/>
  <c r="G78" i="17" s="1"/>
  <c r="G17" i="6"/>
  <c r="G17" i="2"/>
  <c r="C89" i="6"/>
  <c r="C82" i="6"/>
  <c r="F71" i="6"/>
  <c r="E71" i="6"/>
  <c r="D71" i="6"/>
  <c r="F70" i="6"/>
  <c r="G70" i="6" s="1"/>
  <c r="E70" i="6"/>
  <c r="D70" i="6"/>
  <c r="C70" i="6"/>
  <c r="F68" i="6"/>
  <c r="E68" i="6"/>
  <c r="D68" i="6"/>
  <c r="L67" i="6"/>
  <c r="F66" i="6"/>
  <c r="L66" i="6" s="1"/>
  <c r="E66" i="6"/>
  <c r="E72" i="6" s="1"/>
  <c r="D66" i="6"/>
  <c r="D72" i="6" s="1"/>
  <c r="C66" i="6"/>
  <c r="L65" i="6"/>
  <c r="F65" i="6"/>
  <c r="E65" i="6"/>
  <c r="D65" i="6"/>
  <c r="C65" i="6"/>
  <c r="C59" i="6"/>
  <c r="C53" i="6"/>
  <c r="C52" i="6" a="1"/>
  <c r="C52" i="6" s="1"/>
  <c r="F43" i="6"/>
  <c r="C37" i="6"/>
  <c r="C36" i="6"/>
  <c r="G35" i="6"/>
  <c r="G36" i="6" s="1"/>
  <c r="F35" i="6"/>
  <c r="I35" i="6" s="1"/>
  <c r="G34" i="6"/>
  <c r="F34" i="6"/>
  <c r="I34" i="6" s="1"/>
  <c r="G33" i="6"/>
  <c r="F33" i="6"/>
  <c r="I33" i="6" s="1"/>
  <c r="G32" i="6"/>
  <c r="F32" i="6"/>
  <c r="I32" i="6" s="1"/>
  <c r="G31" i="6"/>
  <c r="F31" i="6"/>
  <c r="I31" i="6" s="1"/>
  <c r="F25" i="6"/>
  <c r="E25" i="6"/>
  <c r="D25" i="6"/>
  <c r="C25" i="6"/>
  <c r="L24" i="6"/>
  <c r="F23" i="6"/>
  <c r="E23" i="6"/>
  <c r="D23" i="6"/>
  <c r="C23" i="6"/>
  <c r="L22" i="6"/>
  <c r="F19" i="6"/>
  <c r="E19" i="6"/>
  <c r="D19" i="6"/>
  <c r="C19" i="6"/>
  <c r="F18" i="6"/>
  <c r="E18" i="6"/>
  <c r="D18" i="6"/>
  <c r="C18" i="6"/>
  <c r="F17" i="6"/>
  <c r="E17" i="6"/>
  <c r="D17" i="6"/>
  <c r="L16" i="6"/>
  <c r="F14" i="6"/>
  <c r="E14" i="6"/>
  <c r="E15" i="6" s="1"/>
  <c r="D14" i="6"/>
  <c r="D15" i="6" s="1"/>
  <c r="C14" i="6"/>
  <c r="C15" i="6" s="1"/>
  <c r="L13" i="6"/>
  <c r="F12" i="6"/>
  <c r="E12" i="6"/>
  <c r="D12" i="6"/>
  <c r="L11" i="6"/>
  <c r="F10" i="6"/>
  <c r="G78" i="6" s="1"/>
  <c r="C89" i="2"/>
  <c r="C82" i="2"/>
  <c r="F71" i="2"/>
  <c r="E71" i="2"/>
  <c r="D71" i="2"/>
  <c r="F70" i="2"/>
  <c r="G70" i="2" s="1"/>
  <c r="E70" i="2"/>
  <c r="D70" i="2"/>
  <c r="C70" i="2"/>
  <c r="F68" i="2"/>
  <c r="E68" i="2"/>
  <c r="D68" i="2"/>
  <c r="G68" i="2" s="1"/>
  <c r="L67" i="2"/>
  <c r="F66" i="2"/>
  <c r="E66" i="2"/>
  <c r="E72" i="2" s="1"/>
  <c r="F65" i="2"/>
  <c r="E65" i="2"/>
  <c r="D65" i="2"/>
  <c r="D66" i="2" s="1"/>
  <c r="D72" i="2" s="1"/>
  <c r="C65" i="2"/>
  <c r="C66" i="2" s="1"/>
  <c r="C59" i="2"/>
  <c r="C53" i="2"/>
  <c r="C52" i="2" a="1"/>
  <c r="C52" i="2" s="1"/>
  <c r="F43" i="2"/>
  <c r="C37" i="2"/>
  <c r="G36" i="2"/>
  <c r="F36" i="2"/>
  <c r="C36" i="2"/>
  <c r="G35" i="2"/>
  <c r="F35" i="2"/>
  <c r="I35" i="2" s="1"/>
  <c r="G34" i="2"/>
  <c r="F34" i="2"/>
  <c r="I34" i="2" s="1"/>
  <c r="G33" i="2"/>
  <c r="F33" i="2"/>
  <c r="I33" i="2" s="1"/>
  <c r="G32" i="2"/>
  <c r="F32" i="2"/>
  <c r="I32" i="2" s="1"/>
  <c r="G31" i="2"/>
  <c r="G37" i="2" s="1"/>
  <c r="C49" i="2" s="1"/>
  <c r="C48" i="2" s="1"/>
  <c r="F31" i="2"/>
  <c r="F37" i="2" s="1"/>
  <c r="F25" i="2"/>
  <c r="E25" i="2"/>
  <c r="D25" i="2"/>
  <c r="C25" i="2"/>
  <c r="G25" i="2" s="1"/>
  <c r="H25" i="2" s="1"/>
  <c r="I25" i="2" s="1"/>
  <c r="J25" i="2" s="1"/>
  <c r="K25" i="2" s="1"/>
  <c r="L24" i="2"/>
  <c r="F23" i="2"/>
  <c r="E23" i="2"/>
  <c r="D23" i="2"/>
  <c r="C23" i="2"/>
  <c r="L22" i="2"/>
  <c r="F19" i="2"/>
  <c r="E19" i="2"/>
  <c r="E20" i="2" s="1"/>
  <c r="D19" i="2"/>
  <c r="C19" i="2"/>
  <c r="F18" i="2"/>
  <c r="E18" i="2"/>
  <c r="D18" i="2"/>
  <c r="C18" i="2"/>
  <c r="H17" i="2"/>
  <c r="I17" i="2" s="1"/>
  <c r="J17" i="2" s="1"/>
  <c r="K17" i="2" s="1"/>
  <c r="F17" i="2"/>
  <c r="E17" i="2"/>
  <c r="D17" i="2"/>
  <c r="L16" i="2"/>
  <c r="G16" i="2"/>
  <c r="F14" i="2"/>
  <c r="F15" i="2" s="1"/>
  <c r="E14" i="2"/>
  <c r="E15" i="2" s="1"/>
  <c r="D14" i="2"/>
  <c r="D15" i="2" s="1"/>
  <c r="C14" i="2"/>
  <c r="C15" i="2" s="1"/>
  <c r="G15" i="2" s="1"/>
  <c r="L13" i="2"/>
  <c r="F12" i="2"/>
  <c r="E12" i="2"/>
  <c r="D12" i="2"/>
  <c r="G12" i="2" s="1"/>
  <c r="L11" i="2"/>
  <c r="F10" i="2"/>
  <c r="G78" i="2" s="1"/>
  <c r="D72" i="17" l="1"/>
  <c r="F37" i="17"/>
  <c r="E43" i="17" s="1"/>
  <c r="F36" i="17"/>
  <c r="G37" i="17"/>
  <c r="C49" i="17" s="1"/>
  <c r="C48" i="17" s="1"/>
  <c r="L66" i="17"/>
  <c r="L65" i="17"/>
  <c r="D20" i="17"/>
  <c r="L19" i="17"/>
  <c r="E20" i="17"/>
  <c r="L14" i="17"/>
  <c r="F15" i="17"/>
  <c r="G15" i="17" s="1"/>
  <c r="E10" i="17"/>
  <c r="D10" i="17" s="1"/>
  <c r="C10" i="17" s="1"/>
  <c r="L10" i="17" s="1"/>
  <c r="H70" i="17"/>
  <c r="C50" i="17"/>
  <c r="H12" i="17"/>
  <c r="I12" i="17" s="1"/>
  <c r="J12" i="17" s="1"/>
  <c r="K12" i="17" s="1"/>
  <c r="G11" i="17"/>
  <c r="G69" i="17" s="1"/>
  <c r="H68" i="17"/>
  <c r="H17" i="17"/>
  <c r="I17" i="17" s="1"/>
  <c r="J17" i="17" s="1"/>
  <c r="K17" i="17" s="1"/>
  <c r="I31" i="17"/>
  <c r="F72" i="17"/>
  <c r="C60" i="17"/>
  <c r="F20" i="17"/>
  <c r="G10" i="17"/>
  <c r="G16" i="6"/>
  <c r="H17" i="6"/>
  <c r="I17" i="6" s="1"/>
  <c r="J17" i="6" s="1"/>
  <c r="K17" i="6" s="1"/>
  <c r="L65" i="2"/>
  <c r="L66" i="2"/>
  <c r="D20" i="2"/>
  <c r="F20" i="2"/>
  <c r="L14" i="2"/>
  <c r="F72" i="2"/>
  <c r="E10" i="2"/>
  <c r="D10" i="2" s="1"/>
  <c r="C10" i="2" s="1"/>
  <c r="L10" i="2" s="1"/>
  <c r="G37" i="6"/>
  <c r="C49" i="6" s="1"/>
  <c r="C48" i="6" s="1"/>
  <c r="F36" i="6"/>
  <c r="D20" i="6"/>
  <c r="E20" i="6"/>
  <c r="F20" i="6"/>
  <c r="L14" i="6"/>
  <c r="G68" i="6"/>
  <c r="H68" i="6" s="1"/>
  <c r="G25" i="6"/>
  <c r="H25" i="6" s="1"/>
  <c r="I25" i="6" s="1"/>
  <c r="J25" i="6" s="1"/>
  <c r="K25" i="6" s="1"/>
  <c r="G12" i="6"/>
  <c r="H12" i="6" s="1"/>
  <c r="I12" i="6" s="1"/>
  <c r="J12" i="6" s="1"/>
  <c r="K12" i="6" s="1"/>
  <c r="F15" i="6"/>
  <c r="G15" i="6" s="1"/>
  <c r="F72" i="6"/>
  <c r="E10" i="6"/>
  <c r="D10" i="6" s="1"/>
  <c r="C10" i="6" s="1"/>
  <c r="L10" i="6" s="1"/>
  <c r="H70" i="6"/>
  <c r="I36" i="6"/>
  <c r="I37" i="6"/>
  <c r="D43" i="6" s="1"/>
  <c r="F37" i="6"/>
  <c r="C60" i="6"/>
  <c r="L19" i="6"/>
  <c r="H16" i="6"/>
  <c r="G10" i="6"/>
  <c r="G11" i="2"/>
  <c r="G18" i="2" s="1"/>
  <c r="H12" i="2"/>
  <c r="I12" i="2" s="1"/>
  <c r="J12" i="2" s="1"/>
  <c r="K12" i="2" s="1"/>
  <c r="H15" i="2"/>
  <c r="H68" i="2"/>
  <c r="H70" i="2"/>
  <c r="C50" i="2"/>
  <c r="E43" i="2"/>
  <c r="I31" i="2"/>
  <c r="C60" i="2"/>
  <c r="L19" i="2"/>
  <c r="H16" i="2"/>
  <c r="G10" i="2"/>
  <c r="H15" i="17" l="1"/>
  <c r="G14" i="17"/>
  <c r="G67" i="17"/>
  <c r="G18" i="17"/>
  <c r="G71" i="17"/>
  <c r="I68" i="17"/>
  <c r="H16" i="17"/>
  <c r="H10" i="17"/>
  <c r="H78" i="17"/>
  <c r="I70" i="17"/>
  <c r="I15" i="17"/>
  <c r="H11" i="17"/>
  <c r="G13" i="17"/>
  <c r="G19" i="17" s="1"/>
  <c r="G24" i="17"/>
  <c r="I36" i="17"/>
  <c r="I37" i="17"/>
  <c r="D43" i="17" s="1"/>
  <c r="G43" i="17" s="1"/>
  <c r="C54" i="17" s="1"/>
  <c r="C56" i="17" s="1"/>
  <c r="C61" i="17" s="1"/>
  <c r="G14" i="2"/>
  <c r="G69" i="2"/>
  <c r="G67" i="2"/>
  <c r="G11" i="6"/>
  <c r="H15" i="6"/>
  <c r="G14" i="6"/>
  <c r="G13" i="6" s="1"/>
  <c r="G19" i="6" s="1"/>
  <c r="H10" i="6"/>
  <c r="H78" i="6"/>
  <c r="C50" i="6"/>
  <c r="E43" i="6"/>
  <c r="I16" i="6"/>
  <c r="I70" i="6"/>
  <c r="I68" i="6"/>
  <c r="G43" i="6"/>
  <c r="C54" i="6" s="1"/>
  <c r="C56" i="6" s="1"/>
  <c r="C61" i="6" s="1"/>
  <c r="I15" i="6"/>
  <c r="H11" i="6"/>
  <c r="H18" i="6" s="1"/>
  <c r="G24" i="6"/>
  <c r="G67" i="6"/>
  <c r="I68" i="2"/>
  <c r="I36" i="2"/>
  <c r="I37" i="2"/>
  <c r="D43" i="2" s="1"/>
  <c r="G43" i="2" s="1"/>
  <c r="C54" i="2" s="1"/>
  <c r="C56" i="2" s="1"/>
  <c r="C61" i="2" s="1"/>
  <c r="I70" i="2"/>
  <c r="I15" i="2"/>
  <c r="G71" i="2"/>
  <c r="H78" i="2"/>
  <c r="H10" i="2"/>
  <c r="I16" i="2"/>
  <c r="H11" i="2"/>
  <c r="H69" i="2" s="1"/>
  <c r="H71" i="2" s="1"/>
  <c r="G13" i="2"/>
  <c r="G19" i="2" s="1"/>
  <c r="G24" i="2"/>
  <c r="I11" i="17" l="1"/>
  <c r="H24" i="17"/>
  <c r="I69" i="17"/>
  <c r="J70" i="17"/>
  <c r="G20" i="17"/>
  <c r="G22" i="17"/>
  <c r="I14" i="17"/>
  <c r="J15" i="17"/>
  <c r="K73" i="17"/>
  <c r="J73" i="17"/>
  <c r="G74" i="17"/>
  <c r="H74" i="17" s="1"/>
  <c r="I74" i="17" s="1"/>
  <c r="J74" i="17" s="1"/>
  <c r="K74" i="17" s="1"/>
  <c r="C93" i="17" s="1"/>
  <c r="C94" i="17" s="1"/>
  <c r="I73" i="17"/>
  <c r="H73" i="17"/>
  <c r="G73" i="17"/>
  <c r="H18" i="17"/>
  <c r="I16" i="17"/>
  <c r="H67" i="17"/>
  <c r="H69" i="17"/>
  <c r="H14" i="17"/>
  <c r="H13" i="17" s="1"/>
  <c r="H19" i="17" s="1"/>
  <c r="I78" i="17"/>
  <c r="I10" i="17"/>
  <c r="I67" i="17"/>
  <c r="J68" i="17"/>
  <c r="H18" i="2"/>
  <c r="H14" i="2"/>
  <c r="G69" i="6"/>
  <c r="G71" i="6" s="1"/>
  <c r="G18" i="6"/>
  <c r="H67" i="6"/>
  <c r="H69" i="6"/>
  <c r="H71" i="6" s="1"/>
  <c r="K73" i="6"/>
  <c r="J73" i="6"/>
  <c r="I73" i="6"/>
  <c r="H73" i="6"/>
  <c r="G73" i="6"/>
  <c r="G74" i="6"/>
  <c r="H74" i="6" s="1"/>
  <c r="I74" i="6" s="1"/>
  <c r="J74" i="6" s="1"/>
  <c r="K74" i="6" s="1"/>
  <c r="C93" i="6" s="1"/>
  <c r="C94" i="6" s="1"/>
  <c r="I10" i="6"/>
  <c r="I78" i="6"/>
  <c r="J68" i="6"/>
  <c r="I67" i="6"/>
  <c r="I69" i="6"/>
  <c r="J70" i="6"/>
  <c r="J15" i="6"/>
  <c r="J16" i="6"/>
  <c r="G20" i="6"/>
  <c r="G22" i="6"/>
  <c r="H24" i="6"/>
  <c r="I11" i="6"/>
  <c r="I14" i="6" s="1"/>
  <c r="H14" i="6"/>
  <c r="H13" i="6" s="1"/>
  <c r="H19" i="6" s="1"/>
  <c r="K73" i="2"/>
  <c r="J73" i="2"/>
  <c r="I73" i="2"/>
  <c r="H73" i="2"/>
  <c r="G73" i="2"/>
  <c r="G74" i="2"/>
  <c r="H74" i="2" s="1"/>
  <c r="I74" i="2" s="1"/>
  <c r="J74" i="2" s="1"/>
  <c r="K74" i="2" s="1"/>
  <c r="C93" i="2" s="1"/>
  <c r="C94" i="2" s="1"/>
  <c r="J16" i="2"/>
  <c r="I78" i="2"/>
  <c r="I10" i="2"/>
  <c r="J15" i="2"/>
  <c r="J70" i="2"/>
  <c r="G20" i="2"/>
  <c r="G22" i="2"/>
  <c r="J68" i="2"/>
  <c r="H13" i="2"/>
  <c r="H19" i="2" s="1"/>
  <c r="H24" i="2"/>
  <c r="I11" i="2"/>
  <c r="I18" i="2" s="1"/>
  <c r="H67" i="2"/>
  <c r="G75" i="17" l="1"/>
  <c r="H20" i="17"/>
  <c r="H22" i="17"/>
  <c r="I75" i="17"/>
  <c r="K75" i="17"/>
  <c r="H75" i="17"/>
  <c r="K68" i="17"/>
  <c r="K70" i="17"/>
  <c r="J10" i="17"/>
  <c r="J78" i="17"/>
  <c r="G23" i="17"/>
  <c r="G65" i="17"/>
  <c r="G66" i="17" s="1"/>
  <c r="G72" i="17" s="1"/>
  <c r="G76" i="17" s="1"/>
  <c r="K15" i="17"/>
  <c r="I18" i="17"/>
  <c r="J16" i="17"/>
  <c r="J75" i="17"/>
  <c r="I71" i="17"/>
  <c r="H71" i="17"/>
  <c r="I13" i="17"/>
  <c r="I19" i="17" s="1"/>
  <c r="I24" i="17"/>
  <c r="J11" i="17"/>
  <c r="J67" i="17" s="1"/>
  <c r="I69" i="2"/>
  <c r="I14" i="2"/>
  <c r="I13" i="2" s="1"/>
  <c r="I19" i="2" s="1"/>
  <c r="H20" i="6"/>
  <c r="H22" i="6"/>
  <c r="J10" i="6"/>
  <c r="J78" i="6"/>
  <c r="G75" i="6"/>
  <c r="G23" i="6"/>
  <c r="G65" i="6"/>
  <c r="G66" i="6" s="1"/>
  <c r="G72" i="6" s="1"/>
  <c r="H75" i="6"/>
  <c r="K15" i="6"/>
  <c r="I75" i="6"/>
  <c r="K70" i="6"/>
  <c r="I13" i="6"/>
  <c r="I19" i="6" s="1"/>
  <c r="J11" i="6"/>
  <c r="J18" i="6" s="1"/>
  <c r="I24" i="6"/>
  <c r="K16" i="6"/>
  <c r="J75" i="6"/>
  <c r="K68" i="6"/>
  <c r="I71" i="6"/>
  <c r="I18" i="6"/>
  <c r="K75" i="6"/>
  <c r="K70" i="2"/>
  <c r="K15" i="2"/>
  <c r="K68" i="2"/>
  <c r="J78" i="2"/>
  <c r="J10" i="2"/>
  <c r="I75" i="2"/>
  <c r="J11" i="2"/>
  <c r="J69" i="2" s="1"/>
  <c r="I24" i="2"/>
  <c r="G75" i="2"/>
  <c r="J75" i="2"/>
  <c r="J18" i="2"/>
  <c r="K16" i="2"/>
  <c r="H20" i="2"/>
  <c r="H22" i="2"/>
  <c r="H75" i="2"/>
  <c r="I67" i="2"/>
  <c r="G23" i="2"/>
  <c r="G65" i="2"/>
  <c r="G66" i="2" s="1"/>
  <c r="G72" i="2" s="1"/>
  <c r="I71" i="2"/>
  <c r="K75" i="2"/>
  <c r="I20" i="17" l="1"/>
  <c r="I22" i="17"/>
  <c r="J69" i="17"/>
  <c r="K78" i="17"/>
  <c r="K10" i="17"/>
  <c r="M10" i="17" s="1"/>
  <c r="J18" i="17"/>
  <c r="K16" i="17"/>
  <c r="H23" i="17"/>
  <c r="H65" i="17"/>
  <c r="H66" i="17" s="1"/>
  <c r="H72" i="17" s="1"/>
  <c r="H76" i="17" s="1"/>
  <c r="K11" i="17"/>
  <c r="K69" i="17" s="1"/>
  <c r="J24" i="17"/>
  <c r="K67" i="17"/>
  <c r="M67" i="17" s="1"/>
  <c r="J14" i="17"/>
  <c r="J13" i="17" s="1"/>
  <c r="J19" i="17" s="1"/>
  <c r="J14" i="6"/>
  <c r="J69" i="6"/>
  <c r="J67" i="6"/>
  <c r="G76" i="6"/>
  <c r="I20" i="6"/>
  <c r="I22" i="6"/>
  <c r="M16" i="6"/>
  <c r="K10" i="6"/>
  <c r="M10" i="6" s="1"/>
  <c r="K78" i="6"/>
  <c r="J71" i="6"/>
  <c r="H23" i="6"/>
  <c r="H65" i="6"/>
  <c r="H66" i="6" s="1"/>
  <c r="H72" i="6" s="1"/>
  <c r="H76" i="6" s="1"/>
  <c r="J24" i="6"/>
  <c r="J13" i="6"/>
  <c r="J19" i="6" s="1"/>
  <c r="K11" i="6"/>
  <c r="J71" i="2"/>
  <c r="I20" i="2"/>
  <c r="I22" i="2"/>
  <c r="K10" i="2"/>
  <c r="M10" i="2" s="1"/>
  <c r="K78" i="2"/>
  <c r="G76" i="2"/>
  <c r="H23" i="2"/>
  <c r="H65" i="2"/>
  <c r="H66" i="2" s="1"/>
  <c r="H72" i="2" s="1"/>
  <c r="H76" i="2" s="1"/>
  <c r="J24" i="2"/>
  <c r="K11" i="2"/>
  <c r="K67" i="2" s="1"/>
  <c r="M67" i="2" s="1"/>
  <c r="J67" i="2"/>
  <c r="J14" i="2"/>
  <c r="J13" i="2" s="1"/>
  <c r="J19" i="2" s="1"/>
  <c r="K69" i="2"/>
  <c r="K71" i="2" s="1"/>
  <c r="K18" i="2"/>
  <c r="M16" i="2"/>
  <c r="K14" i="17" l="1"/>
  <c r="M14" i="17" s="1"/>
  <c r="J22" i="17"/>
  <c r="J20" i="17"/>
  <c r="K18" i="17"/>
  <c r="M16" i="17"/>
  <c r="I23" i="17"/>
  <c r="I65" i="17"/>
  <c r="I66" i="17" s="1"/>
  <c r="I72" i="17" s="1"/>
  <c r="I76" i="17" s="1"/>
  <c r="K71" i="17"/>
  <c r="J71" i="17"/>
  <c r="K13" i="17"/>
  <c r="M13" i="17" s="1"/>
  <c r="K24" i="17"/>
  <c r="M24" i="17" s="1"/>
  <c r="M11" i="17"/>
  <c r="K14" i="2"/>
  <c r="M14" i="2" s="1"/>
  <c r="M11" i="6"/>
  <c r="K24" i="6"/>
  <c r="M24" i="6" s="1"/>
  <c r="K18" i="6"/>
  <c r="J22" i="6"/>
  <c r="J20" i="6"/>
  <c r="I23" i="6"/>
  <c r="I65" i="6"/>
  <c r="I66" i="6" s="1"/>
  <c r="I72" i="6" s="1"/>
  <c r="I76" i="6" s="1"/>
  <c r="K69" i="6"/>
  <c r="K71" i="6" s="1"/>
  <c r="K67" i="6"/>
  <c r="M67" i="6" s="1"/>
  <c r="K14" i="6"/>
  <c r="M14" i="6" s="1"/>
  <c r="J22" i="2"/>
  <c r="J20" i="2"/>
  <c r="I23" i="2"/>
  <c r="I65" i="2"/>
  <c r="I66" i="2" s="1"/>
  <c r="I72" i="2" s="1"/>
  <c r="I76" i="2" s="1"/>
  <c r="K13" i="2"/>
  <c r="M11" i="2"/>
  <c r="K24" i="2"/>
  <c r="M24" i="2" s="1"/>
  <c r="K19" i="17" l="1"/>
  <c r="J65" i="17"/>
  <c r="J66" i="17" s="1"/>
  <c r="J72" i="17" s="1"/>
  <c r="J76" i="17" s="1"/>
  <c r="J23" i="17"/>
  <c r="J65" i="6"/>
  <c r="J66" i="6" s="1"/>
  <c r="J72" i="6" s="1"/>
  <c r="J76" i="6" s="1"/>
  <c r="J23" i="6"/>
  <c r="K13" i="6"/>
  <c r="M13" i="2"/>
  <c r="K19" i="2"/>
  <c r="J65" i="2"/>
  <c r="J66" i="2" s="1"/>
  <c r="J72" i="2" s="1"/>
  <c r="J76" i="2" s="1"/>
  <c r="J23" i="2"/>
  <c r="K20" i="17" l="1"/>
  <c r="M19" i="17"/>
  <c r="K22" i="17"/>
  <c r="M13" i="6"/>
  <c r="K19" i="6"/>
  <c r="K22" i="2"/>
  <c r="K20" i="2"/>
  <c r="M19" i="2"/>
  <c r="K65" i="17" l="1"/>
  <c r="C90" i="17"/>
  <c r="K23" i="17"/>
  <c r="M22" i="17"/>
  <c r="K22" i="6"/>
  <c r="K20" i="6"/>
  <c r="M19" i="6"/>
  <c r="M22" i="2"/>
  <c r="C90" i="2"/>
  <c r="K23" i="2"/>
  <c r="K65" i="2"/>
  <c r="M65" i="17" l="1"/>
  <c r="K66" i="17"/>
  <c r="C90" i="6"/>
  <c r="K23" i="6"/>
  <c r="M22" i="6"/>
  <c r="K65" i="6"/>
  <c r="M65" i="2"/>
  <c r="K66" i="2"/>
  <c r="M66" i="17" l="1"/>
  <c r="K72" i="17"/>
  <c r="M65" i="6"/>
  <c r="K66" i="6"/>
  <c r="M66" i="2"/>
  <c r="K72" i="2"/>
  <c r="C88" i="17" l="1"/>
  <c r="C91" i="17" s="1"/>
  <c r="K76" i="17"/>
  <c r="M66" i="6"/>
  <c r="K72" i="6"/>
  <c r="C88" i="2"/>
  <c r="C91" i="2" s="1"/>
  <c r="K76" i="2"/>
  <c r="C95" i="17" l="1"/>
  <c r="C92" i="17"/>
  <c r="C88" i="6"/>
  <c r="C91" i="6" s="1"/>
  <c r="K76" i="6"/>
  <c r="C95" i="2"/>
  <c r="C92" i="2"/>
  <c r="C79" i="17" l="1"/>
  <c r="C95" i="6"/>
  <c r="C92" i="6"/>
  <c r="C79" i="2"/>
  <c r="J83" i="17" l="1"/>
  <c r="I83" i="17"/>
  <c r="H83" i="17"/>
  <c r="G83" i="17"/>
  <c r="G85" i="17"/>
  <c r="C83" i="17"/>
  <c r="C85" i="17" s="1"/>
  <c r="K83" i="17"/>
  <c r="K79" i="17"/>
  <c r="J79" i="17"/>
  <c r="I79" i="17"/>
  <c r="K85" i="17"/>
  <c r="H79" i="17"/>
  <c r="J85" i="17"/>
  <c r="G79" i="17"/>
  <c r="I85" i="17"/>
  <c r="H85" i="17"/>
  <c r="C96" i="17"/>
  <c r="C79" i="6"/>
  <c r="J83" i="2"/>
  <c r="G85" i="2"/>
  <c r="I83" i="2"/>
  <c r="H83" i="2"/>
  <c r="G83" i="2"/>
  <c r="C83" i="2"/>
  <c r="C85" i="2" s="1"/>
  <c r="J79" i="2"/>
  <c r="K79" i="2"/>
  <c r="I79" i="2"/>
  <c r="K85" i="2"/>
  <c r="H79" i="2"/>
  <c r="J85" i="2"/>
  <c r="G79" i="2"/>
  <c r="I85" i="2"/>
  <c r="K83" i="2"/>
  <c r="H85" i="2"/>
  <c r="C96" i="2"/>
  <c r="J83" i="6" l="1"/>
  <c r="I83" i="6"/>
  <c r="H83" i="6"/>
  <c r="G83" i="6"/>
  <c r="C83" i="6"/>
  <c r="C85" i="6" s="1"/>
  <c r="I85" i="6"/>
  <c r="K79" i="6"/>
  <c r="J79" i="6"/>
  <c r="I79" i="6"/>
  <c r="K85" i="6"/>
  <c r="H79" i="6"/>
  <c r="J85" i="6"/>
  <c r="G79" i="6"/>
  <c r="H85" i="6"/>
  <c r="G85" i="6"/>
  <c r="K83" i="6"/>
  <c r="C96" i="6"/>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2"/>
        </ext>
      </extLst>
    </bk>
  </futureMetadata>
  <valueMetadata count="1">
    <bk>
      <rc t="1" v="0"/>
    </bk>
  </valueMetadata>
</metadata>
</file>

<file path=xl/sharedStrings.xml><?xml version="1.0" encoding="utf-8"?>
<sst xmlns="http://schemas.openxmlformats.org/spreadsheetml/2006/main" count="330" uniqueCount="102">
  <si>
    <t>DISCOUNTED CASH FLOW (DCF) VALUATION MODEL</t>
  </si>
  <si>
    <t xml:space="preserve">Note: All values in this model are automatically populated using a Python pipeline. Only assumption fields require manual input. The size premium is determined based on market capitalization using brackets that approximate deciles from the CRSP (Center for Research in Security Prices) database, as published in the Duff &amp; Phelps Valuation Handbook (now produced by Kroll).
</t>
  </si>
  <si>
    <t>ASSUMPTIONS/INPUT</t>
  </si>
  <si>
    <t>COMPANY NAME</t>
  </si>
  <si>
    <t>U.S. 10-YEAR TREASURY YIELD</t>
  </si>
  <si>
    <t>LAST FISCAL YEAR</t>
  </si>
  <si>
    <t xml:space="preserve">MARKET RISK PREIMUM </t>
  </si>
  <si>
    <t>CORPORATE TAX RATE</t>
  </si>
  <si>
    <t>PERPETUITY GROWTH RATE</t>
  </si>
  <si>
    <t>DISCOUNTED CASH FLOW (DCF)</t>
  </si>
  <si>
    <t>ACTUAL</t>
  </si>
  <si>
    <t>FORECAST PD</t>
  </si>
  <si>
    <t>CAGR</t>
  </si>
  <si>
    <t>Net Sales</t>
  </si>
  <si>
    <t>Growth, %</t>
  </si>
  <si>
    <t>COGS</t>
  </si>
  <si>
    <t>GROSS PROFIT</t>
  </si>
  <si>
    <t>Margin, %</t>
  </si>
  <si>
    <t>OPEX</t>
  </si>
  <si>
    <t>In % of Net Sales</t>
  </si>
  <si>
    <t>TOTAL COSTS</t>
  </si>
  <si>
    <t xml:space="preserve"> Adjusted EBIT</t>
  </si>
  <si>
    <t>Adjusted EBITDA</t>
  </si>
  <si>
    <t>Depreciation</t>
  </si>
  <si>
    <t>BETA and CAPITAL STRUCTURE</t>
  </si>
  <si>
    <t>COMPARABLE COMPANIES UNLEVERED BETA</t>
  </si>
  <si>
    <t>COMPANY</t>
  </si>
  <si>
    <t>LEVERED BETA (1)</t>
  </si>
  <si>
    <t>MARKET VALUE OF DEBT (2)</t>
  </si>
  <si>
    <t>MARKET VALUE OF EQUITY (3)</t>
  </si>
  <si>
    <t>DEBT / EQUITY</t>
  </si>
  <si>
    <t>EQUITY / TOTAL ASSETS</t>
  </si>
  <si>
    <t>TAX RATE</t>
  </si>
  <si>
    <t>UNLEVERED BETA (4)</t>
  </si>
  <si>
    <t>Microsoft Corporation</t>
  </si>
  <si>
    <t>Amazon.com, Inc.</t>
  </si>
  <si>
    <t>MEDIAN</t>
  </si>
  <si>
    <t>MEAN</t>
  </si>
  <si>
    <t>(1) From Bloomberg</t>
  </si>
  <si>
    <t>(2) Book Value of Debt</t>
  </si>
  <si>
    <t>(3) From Bloomberg</t>
  </si>
  <si>
    <t>(4) Unlevered Beta = Predicted Levered Beta / (1 + Debt/Equity) x (1-t))</t>
  </si>
  <si>
    <t>RELEVERED BETA</t>
  </si>
  <si>
    <t>MEAN UNLEVERED BETA</t>
  </si>
  <si>
    <t>MEAN TARGET DEBT / EQUITY</t>
  </si>
  <si>
    <t>TARGET MARGINAL TAX RATE</t>
  </si>
  <si>
    <t>Target Company</t>
  </si>
  <si>
    <t>WACC CALCULATION</t>
  </si>
  <si>
    <t>* OPTIONAL: HIDE SECTION ON OUTPUT *</t>
  </si>
  <si>
    <t>TARGET CAPITAL STRUCTURE</t>
  </si>
  <si>
    <t>Debt to Total Capitalization</t>
  </si>
  <si>
    <t>Equity to Total Capitalization</t>
  </si>
  <si>
    <t>Debt to Equity Ratio</t>
  </si>
  <si>
    <t>COST OF EQUITY</t>
  </si>
  <si>
    <t>Risk-free rate (2)</t>
  </si>
  <si>
    <t>Market risk Premium (3)</t>
  </si>
  <si>
    <t>Levered Beta (4)</t>
  </si>
  <si>
    <t>Size Premium (5)</t>
  </si>
  <si>
    <t>COST OF DEBT</t>
  </si>
  <si>
    <t>Cost of Debt</t>
  </si>
  <si>
    <t>Corporate Tax Rate</t>
  </si>
  <si>
    <t>AFTER TAX COST OF DEBT</t>
  </si>
  <si>
    <t>WACC</t>
  </si>
  <si>
    <t>EBIT</t>
  </si>
  <si>
    <t xml:space="preserve">Tax </t>
  </si>
  <si>
    <t>Capex</t>
  </si>
  <si>
    <t>Operating Working Capital</t>
  </si>
  <si>
    <t>Increase / Decrease in OWC</t>
  </si>
  <si>
    <t>UNLEVERED FREE CASH FLOW</t>
  </si>
  <si>
    <t>Discount Period</t>
  </si>
  <si>
    <t>Discount Factor</t>
  </si>
  <si>
    <t>PRESENT VALUE OF FREE CASH FLOW</t>
  </si>
  <si>
    <t>DCF-VALUATION</t>
  </si>
  <si>
    <t>IMPLIED MULTIPLES</t>
  </si>
  <si>
    <t>Enterprise value ("EV")</t>
  </si>
  <si>
    <t>Sales</t>
  </si>
  <si>
    <t>Less: Total Debt</t>
  </si>
  <si>
    <t>* HIDE ROW ON OUTPUT *</t>
  </si>
  <si>
    <t>Plus: Cash and Cash Equi.</t>
  </si>
  <si>
    <t>Net Debt  negative number equals net cash position</t>
  </si>
  <si>
    <t>Equity Value  market cap</t>
  </si>
  <si>
    <t>EBITDA</t>
  </si>
  <si>
    <t>Outstanding Shares</t>
  </si>
  <si>
    <t>Price Per Share</t>
  </si>
  <si>
    <t>TERMINAL VALUE</t>
  </si>
  <si>
    <t>Terminal Year Free Cash Flow</t>
  </si>
  <si>
    <t>Perpetuity Growth Rate</t>
  </si>
  <si>
    <t>Terminal Year EBITDA</t>
  </si>
  <si>
    <t>Terminal Value</t>
  </si>
  <si>
    <t>Implied Exit Multiple</t>
  </si>
  <si>
    <t>PRESENT VALUE OF TERMINAL VALUE</t>
  </si>
  <si>
    <t>% of Enterprise Value</t>
  </si>
  <si>
    <t>Alphabet Inc.</t>
  </si>
  <si>
    <t>Apple Inc</t>
  </si>
  <si>
    <t>Tesla, Inc.</t>
  </si>
  <si>
    <t>NVIDIA Corporation</t>
  </si>
  <si>
    <t>Snap Inc</t>
  </si>
  <si>
    <t>Pinterest, Inc.</t>
  </si>
  <si>
    <t>The Trade Desk, Inc.</t>
  </si>
  <si>
    <t>Spotify Technology S.A.</t>
  </si>
  <si>
    <t>Roblox Corporation</t>
  </si>
  <si>
    <t>Zillow Group, Inc. Class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</si>
</sst>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A"/>
    <numFmt numFmtId="165" formatCode="0&quot;E&quot;"/>
    <numFmt numFmtId="166" formatCode="0.0%"/>
    <numFmt numFmtId="167" formatCode="0.000%"/>
    <numFmt numFmtId="168" formatCode="0.000"/>
    <numFmt numFmtId="169" formatCode="#,##0.0"/>
    <numFmt numFmtId="170" formatCode="0.0\x"/>
    <numFmt numFmtId="171" formatCode="#,##0.0\x"/>
  </numFmts>
  <fonts count="38" x14ac:knownFonts="1">
    <font>
      <sz val="11"/>
      <color theme="1"/>
      <name val="Aptos Narrow"/>
      <family val="2"/>
      <scheme val="minor"/>
    </font>
    <font>
      <sz val="11"/>
      <color theme="1"/>
      <name val="Aptos Narrow"/>
      <family val="2"/>
      <scheme val="minor"/>
    </font>
    <font>
      <b/>
      <sz val="20"/>
      <color theme="0" tint="-0.499984740745262"/>
      <name val="Century Gothic"/>
      <family val="1"/>
    </font>
    <font>
      <b/>
      <sz val="20"/>
      <color theme="0" tint="-0.34998626667073579"/>
      <name val="Century Gothic"/>
      <family val="1"/>
    </font>
    <font>
      <sz val="22"/>
      <color theme="1"/>
      <name val="Arial"/>
      <family val="2"/>
    </font>
    <font>
      <sz val="9"/>
      <color theme="1" tint="0.34998626667073579"/>
      <name val="Century Gothic"/>
      <family val="1"/>
    </font>
    <font>
      <sz val="9"/>
      <color rgb="FF4D4D4D"/>
      <name val="Arial"/>
      <family val="2"/>
    </font>
    <font>
      <sz val="10"/>
      <color rgb="FF4D4D4D"/>
      <name val="Century Gothic"/>
      <family val="1"/>
    </font>
    <font>
      <b/>
      <sz val="9"/>
      <color rgb="FF4D4D4D"/>
      <name val="Century Gothic"/>
      <family val="1"/>
    </font>
    <font>
      <sz val="9"/>
      <color rgb="FF4D4D4D"/>
      <name val="Century Gothic"/>
      <family val="1"/>
    </font>
    <font>
      <b/>
      <sz val="15"/>
      <color theme="0" tint="-0.499984740745262"/>
      <name val="Century Gothic"/>
      <family val="1"/>
    </font>
    <font>
      <sz val="9"/>
      <color theme="1"/>
      <name val="Century Gothic"/>
      <family val="1"/>
    </font>
    <font>
      <sz val="10"/>
      <color theme="1" tint="0.34998626667073579"/>
      <name val="Century Gothic"/>
      <family val="1"/>
    </font>
    <font>
      <sz val="11"/>
      <color theme="1"/>
      <name val="Arial"/>
      <family val="2"/>
    </font>
    <font>
      <sz val="9"/>
      <color theme="1"/>
      <name val="Arial"/>
      <family val="2"/>
    </font>
    <font>
      <sz val="9"/>
      <color rgb="FF000000"/>
      <name val="Arial"/>
      <family val="2"/>
    </font>
    <font>
      <b/>
      <sz val="9"/>
      <color theme="0"/>
      <name val="Century Gothic"/>
      <family val="1"/>
    </font>
    <font>
      <b/>
      <u/>
      <sz val="9"/>
      <color theme="0"/>
      <name val="Century Gothic"/>
      <family val="1"/>
    </font>
    <font>
      <i/>
      <sz val="9"/>
      <color rgb="FF4D4D4D"/>
      <name val="Century Gothic"/>
      <family val="1"/>
    </font>
    <font>
      <i/>
      <sz val="9"/>
      <color theme="1" tint="0.34998626667073579"/>
      <name val="Century Gothic"/>
      <family val="1"/>
    </font>
    <font>
      <i/>
      <sz val="9"/>
      <color theme="1"/>
      <name val="Century Gothic"/>
      <family val="1"/>
    </font>
    <font>
      <b/>
      <i/>
      <sz val="9"/>
      <color rgb="FF4D4D4D"/>
      <name val="Century Gothic"/>
      <family val="1"/>
    </font>
    <font>
      <b/>
      <sz val="12"/>
      <color theme="0" tint="-0.499984740745262"/>
      <name val="Century Gothic"/>
      <family val="1"/>
    </font>
    <font>
      <sz val="9"/>
      <color rgb="FF00B050"/>
      <name val="Century Gothic"/>
      <family val="1"/>
    </font>
    <font>
      <b/>
      <sz val="9"/>
      <color rgb="FF4D4D4D"/>
      <name val="Arial"/>
      <family val="2"/>
    </font>
    <font>
      <sz val="10"/>
      <color rgb="FF4D4D4D"/>
      <name val="Arial"/>
      <family val="2"/>
    </font>
    <font>
      <sz val="9"/>
      <name val="Century Gothic"/>
      <family val="1"/>
    </font>
    <font>
      <b/>
      <sz val="10"/>
      <color theme="1"/>
      <name val="Arial"/>
      <family val="2"/>
    </font>
    <font>
      <b/>
      <sz val="10"/>
      <color rgb="FF4D4D4D"/>
      <name val="Century Gothic"/>
      <family val="1"/>
    </font>
    <font>
      <b/>
      <i/>
      <sz val="15"/>
      <color theme="0" tint="-0.499984740745262"/>
      <name val="Century Gothic"/>
      <family val="1"/>
    </font>
    <font>
      <sz val="9"/>
      <color theme="0"/>
      <name val="Century Gothic"/>
      <family val="1"/>
    </font>
    <font>
      <sz val="9"/>
      <color theme="3"/>
      <name val="Century Gothic"/>
      <family val="1"/>
    </font>
    <font>
      <b/>
      <sz val="9"/>
      <color theme="1"/>
      <name val="Century Gothic"/>
      <family val="1"/>
    </font>
    <font>
      <sz val="9"/>
      <color rgb="FFFF0000"/>
      <name val="Century Gothic"/>
      <family val="1"/>
    </font>
    <font>
      <sz val="9"/>
      <color rgb="FF048EB0"/>
      <name val="Century Gothic"/>
      <family val="1"/>
    </font>
    <font>
      <b/>
      <sz val="9"/>
      <color theme="2"/>
      <name val="Century Gothic"/>
      <family val="1"/>
    </font>
    <font>
      <b/>
      <sz val="9"/>
      <color theme="3"/>
      <name val="Century Gothic"/>
      <family val="1"/>
    </font>
    <font>
      <b/>
      <sz val="9"/>
      <color rgb="FF000000"/>
      <name val="Arial"/>
      <family val="2"/>
    </font>
  </fonts>
  <fills count="12">
    <fill>
      <patternFill patternType="none"/>
    </fill>
    <fill>
      <patternFill patternType="gray125"/>
    </fill>
    <fill>
      <patternFill patternType="solid">
        <fgColor theme="0"/>
        <bgColor indexed="64"/>
      </patternFill>
    </fill>
    <fill>
      <patternFill patternType="solid">
        <fgColor rgb="FFEAEEF3"/>
        <bgColor indexed="64"/>
      </patternFill>
    </fill>
    <fill>
      <patternFill patternType="solid">
        <fgColor theme="3"/>
        <bgColor indexed="64"/>
      </patternFill>
    </fill>
    <fill>
      <patternFill patternType="solid">
        <fgColor theme="1" tint="0.499984740745262"/>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tint="-0.14999847407452621"/>
        <bgColor indexed="64"/>
      </patternFill>
    </fill>
  </fills>
  <borders count="23">
    <border>
      <left/>
      <right/>
      <top/>
      <bottom/>
      <diagonal/>
    </border>
    <border>
      <left/>
      <right/>
      <top style="thin">
        <color theme="4"/>
      </top>
      <bottom style="double">
        <color theme="4"/>
      </bottom>
      <diagonal/>
    </border>
    <border>
      <left/>
      <right/>
      <top/>
      <bottom style="thin">
        <color theme="0" tint="-0.249977111117893"/>
      </bottom>
      <diagonal/>
    </border>
    <border>
      <left style="thin">
        <color theme="0" tint="-0.249977111117893"/>
      </left>
      <right style="hair">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hair">
        <color theme="0" tint="-0.249977111117893"/>
      </right>
      <top style="thin">
        <color theme="0" tint="-0.249977111117893"/>
      </top>
      <bottom style="medium">
        <color theme="0" tint="-0.249977111117893"/>
      </bottom>
      <diagonal/>
    </border>
    <border>
      <left/>
      <right style="hair">
        <color theme="0" tint="-0.249977111117893"/>
      </right>
      <top/>
      <bottom/>
      <diagonal/>
    </border>
    <border>
      <left/>
      <right/>
      <top style="thin">
        <color theme="0" tint="-0.249977111117893"/>
      </top>
      <bottom style="thin">
        <color theme="0" tint="-0.249977111117893"/>
      </bottom>
      <diagonal/>
    </border>
    <border>
      <left/>
      <right style="hair">
        <color theme="0" tint="-0.249977111117893"/>
      </right>
      <top style="thin">
        <color theme="0" tint="-0.249977111117893"/>
      </top>
      <bottom style="thin">
        <color theme="0" tint="-0.249977111117893"/>
      </bottom>
      <diagonal/>
    </border>
    <border>
      <left style="thick">
        <color theme="0" tint="-0.249977111117893"/>
      </left>
      <right/>
      <top/>
      <bottom/>
      <diagonal/>
    </border>
    <border>
      <left style="thick">
        <color theme="0" tint="-0.249977111117893"/>
      </left>
      <right/>
      <top/>
      <bottom style="hair">
        <color theme="0" tint="-0.249977111117893"/>
      </bottom>
      <diagonal/>
    </border>
    <border>
      <left/>
      <right/>
      <top/>
      <bottom style="hair">
        <color theme="0" tint="-0.249977111117893"/>
      </bottom>
      <diagonal/>
    </border>
    <border>
      <left style="thick">
        <color theme="0" tint="-0.249977111117893"/>
      </left>
      <right/>
      <top style="hair">
        <color theme="0" tint="-0.249977111117893"/>
      </top>
      <bottom/>
      <diagonal/>
    </border>
    <border>
      <left/>
      <right/>
      <top style="hair">
        <color theme="0" tint="-0.249977111117893"/>
      </top>
      <bottom/>
      <diagonal/>
    </border>
    <border>
      <left style="thick">
        <color theme="0" tint="-0.249977111117893"/>
      </left>
      <right/>
      <top style="hair">
        <color theme="0" tint="-0.249977111117893"/>
      </top>
      <bottom style="hair">
        <color theme="0" tint="-0.249977111117893"/>
      </bottom>
      <diagonal/>
    </border>
    <border>
      <left/>
      <right/>
      <top style="hair">
        <color theme="0" tint="-0.249977111117893"/>
      </top>
      <bottom style="hair">
        <color theme="0" tint="-0.249977111117893"/>
      </bottom>
      <diagonal/>
    </border>
    <border>
      <left/>
      <right style="hair">
        <color theme="0" tint="-0.249977111117893"/>
      </right>
      <top/>
      <bottom style="hair">
        <color theme="0" tint="-0.249977111117893"/>
      </bottom>
      <diagonal/>
    </border>
    <border>
      <left/>
      <right style="hair">
        <color theme="0" tint="-0.249977111117893"/>
      </right>
      <top style="hair">
        <color theme="0" tint="-0.249977111117893"/>
      </top>
      <bottom style="hair">
        <color theme="0" tint="-0.249977111117893"/>
      </bottom>
      <diagonal/>
    </border>
    <border>
      <left style="thick">
        <color theme="0" tint="-0.249977111117893"/>
      </left>
      <right/>
      <top style="hair">
        <color theme="0" tint="-0.249977111117893"/>
      </top>
      <bottom style="double">
        <color theme="0" tint="-0.249977111117893"/>
      </bottom>
      <diagonal/>
    </border>
    <border>
      <left/>
      <right style="hair">
        <color theme="0" tint="-0.249977111117893"/>
      </right>
      <top style="hair">
        <color theme="0" tint="-0.249977111117893"/>
      </top>
      <bottom style="double">
        <color theme="0" tint="-0.249977111117893"/>
      </bottom>
      <diagonal/>
    </border>
    <border>
      <left/>
      <right/>
      <top style="thin">
        <color theme="0" tint="-0.249977111117893"/>
      </top>
      <bottom style="double">
        <color theme="0" tint="-0.249977111117893"/>
      </bottom>
      <diagonal/>
    </border>
    <border>
      <left/>
      <right style="hair">
        <color theme="0" tint="-0.249977111117893"/>
      </right>
      <top style="thin">
        <color theme="0" tint="-0.249977111117893"/>
      </top>
      <bottom style="double">
        <color theme="0" tint="-0.249977111117893"/>
      </bottom>
      <diagonal/>
    </border>
    <border>
      <left/>
      <right/>
      <top style="thin">
        <color theme="0" tint="-0.249977111117893"/>
      </top>
      <bottom/>
      <diagonal/>
    </border>
  </borders>
  <cellStyleXfs count="3">
    <xf numFmtId="0" fontId="0" fillId="0" borderId="0"/>
    <xf numFmtId="0" fontId="1" fillId="0" borderId="0"/>
    <xf numFmtId="0" fontId="27" fillId="0" borderId="1"/>
  </cellStyleXfs>
  <cellXfs count="231">
    <xf numFmtId="0" fontId="0" fillId="0" borderId="0" xfId="0"/>
    <xf numFmtId="0" fontId="2" fillId="2" borderId="0" xfId="0" applyFont="1" applyFill="1" applyAlignment="1">
      <alignment vertical="center"/>
    </xf>
    <xf numFmtId="0" fontId="3" fillId="2" borderId="0" xfId="0" applyFont="1" applyFill="1" applyAlignment="1">
      <alignment vertical="center"/>
    </xf>
    <xf numFmtId="0" fontId="4" fillId="2" borderId="0" xfId="0" applyFont="1" applyFill="1" applyAlignment="1">
      <alignment vertical="center"/>
    </xf>
    <xf numFmtId="0" fontId="4" fillId="0" borderId="0" xfId="0" applyFont="1" applyAlignment="1">
      <alignment vertical="center"/>
    </xf>
    <xf numFmtId="0" fontId="6" fillId="0" borderId="0" xfId="0" applyFont="1" applyAlignment="1">
      <alignment vertical="center"/>
    </xf>
    <xf numFmtId="0" fontId="7" fillId="0" borderId="0" xfId="0" applyFont="1" applyAlignment="1">
      <alignment vertical="center"/>
    </xf>
    <xf numFmtId="0" fontId="8" fillId="0" borderId="0" xfId="0" applyFont="1" applyAlignment="1">
      <alignment vertical="center"/>
    </xf>
    <xf numFmtId="0" fontId="9" fillId="0" borderId="0" xfId="0" applyFont="1" applyAlignment="1">
      <alignment vertical="center"/>
    </xf>
    <xf numFmtId="0" fontId="11" fillId="3" borderId="3" xfId="0" applyFont="1" applyFill="1" applyBorder="1" applyAlignment="1">
      <alignment horizontal="left" vertical="center" indent="1"/>
    </xf>
    <xf numFmtId="0" fontId="12" fillId="0" borderId="4" xfId="0" applyFont="1" applyBorder="1" applyAlignment="1">
      <alignment horizontal="center" vertical="center"/>
    </xf>
    <xf numFmtId="0" fontId="1" fillId="0" borderId="0" xfId="1"/>
    <xf numFmtId="10" fontId="12" fillId="0" borderId="4" xfId="0" applyNumberFormat="1" applyFont="1" applyBorder="1" applyAlignment="1">
      <alignment horizontal="center" vertical="center"/>
    </xf>
    <xf numFmtId="0" fontId="13" fillId="0" borderId="0" xfId="0" applyFont="1" applyAlignment="1">
      <alignment vertical="center"/>
    </xf>
    <xf numFmtId="0" fontId="11" fillId="3" borderId="5" xfId="0" applyFont="1" applyFill="1" applyBorder="1" applyAlignment="1">
      <alignment horizontal="left" vertical="center" indent="1"/>
    </xf>
    <xf numFmtId="0" fontId="14" fillId="0" borderId="0" xfId="0" applyFont="1" applyAlignment="1">
      <alignment vertical="center"/>
    </xf>
    <xf numFmtId="3" fontId="15" fillId="0" borderId="0" xfId="0" applyNumberFormat="1" applyFont="1" applyAlignment="1">
      <alignment horizontal="left" vertical="center" readingOrder="1"/>
    </xf>
    <xf numFmtId="3" fontId="6" fillId="0" borderId="0" xfId="0" applyNumberFormat="1" applyFont="1" applyAlignment="1">
      <alignment horizontal="right" vertical="center" wrapText="1" readingOrder="1"/>
    </xf>
    <xf numFmtId="0" fontId="10" fillId="0" borderId="0" xfId="0" applyFont="1" applyAlignment="1">
      <alignment vertical="top"/>
    </xf>
    <xf numFmtId="0" fontId="16" fillId="4" borderId="0" xfId="0" applyFont="1" applyFill="1" applyAlignment="1">
      <alignment horizontal="left" vertical="center" wrapText="1" indent="1" readingOrder="1"/>
    </xf>
    <xf numFmtId="0" fontId="16" fillId="4" borderId="6" xfId="0" applyFont="1" applyFill="1" applyBorder="1" applyAlignment="1">
      <alignment horizontal="left" vertical="center" wrapText="1" indent="1" readingOrder="1"/>
    </xf>
    <xf numFmtId="0" fontId="16" fillId="5" borderId="0" xfId="0" applyFont="1" applyFill="1" applyAlignment="1">
      <alignment horizontal="left" vertical="center" indent="1"/>
    </xf>
    <xf numFmtId="0" fontId="16" fillId="5" borderId="0" xfId="0" applyFont="1" applyFill="1" applyAlignment="1">
      <alignment horizontal="center" vertical="center"/>
    </xf>
    <xf numFmtId="0" fontId="17" fillId="5" borderId="0" xfId="0" applyFont="1" applyFill="1" applyAlignment="1">
      <alignment horizontal="center" vertical="center"/>
    </xf>
    <xf numFmtId="0" fontId="17" fillId="5" borderId="6" xfId="0" applyFont="1" applyFill="1" applyBorder="1" applyAlignment="1">
      <alignment horizontal="center" vertical="center"/>
    </xf>
    <xf numFmtId="0" fontId="16" fillId="6" borderId="0" xfId="0" applyFont="1" applyFill="1" applyAlignment="1">
      <alignment horizontal="left" vertical="center" wrapText="1" indent="1" readingOrder="1"/>
    </xf>
    <xf numFmtId="0" fontId="11" fillId="0" borderId="0" xfId="0" applyFont="1" applyAlignment="1">
      <alignment vertical="center"/>
    </xf>
    <xf numFmtId="164" fontId="16" fillId="7" borderId="0" xfId="0" applyNumberFormat="1" applyFont="1" applyFill="1" applyAlignment="1">
      <alignment horizontal="center" vertical="center" wrapText="1" readingOrder="1"/>
    </xf>
    <xf numFmtId="164" fontId="16" fillId="7" borderId="6" xfId="0" applyNumberFormat="1" applyFont="1" applyFill="1" applyBorder="1" applyAlignment="1">
      <alignment horizontal="center" vertical="center" wrapText="1" readingOrder="1"/>
    </xf>
    <xf numFmtId="165" fontId="16" fillId="8" borderId="0" xfId="0" applyNumberFormat="1" applyFont="1" applyFill="1" applyAlignment="1">
      <alignment horizontal="center" vertical="center"/>
    </xf>
    <xf numFmtId="165" fontId="16" fillId="8" borderId="6" xfId="0" applyNumberFormat="1" applyFont="1" applyFill="1" applyBorder="1" applyAlignment="1">
      <alignment horizontal="center" vertical="center"/>
    </xf>
    <xf numFmtId="164" fontId="16" fillId="6" borderId="0" xfId="0" applyNumberFormat="1" applyFont="1" applyFill="1" applyAlignment="1">
      <alignment horizontal="center" vertical="center" wrapText="1" readingOrder="1"/>
    </xf>
    <xf numFmtId="0" fontId="9" fillId="3" borderId="0" xfId="0" applyFont="1" applyFill="1" applyAlignment="1">
      <alignment horizontal="left" vertical="center" wrapText="1" readingOrder="1"/>
    </xf>
    <xf numFmtId="3" fontId="9" fillId="0" borderId="0" xfId="0" applyNumberFormat="1" applyFont="1" applyAlignment="1">
      <alignment horizontal="center" vertical="center" wrapText="1" readingOrder="1"/>
    </xf>
    <xf numFmtId="3" fontId="9" fillId="0" borderId="6" xfId="0" applyNumberFormat="1" applyFont="1" applyBorder="1" applyAlignment="1">
      <alignment horizontal="center" vertical="center" wrapText="1" readingOrder="1"/>
    </xf>
    <xf numFmtId="3" fontId="9" fillId="9" borderId="0" xfId="0" applyNumberFormat="1" applyFont="1" applyFill="1" applyAlignment="1">
      <alignment horizontal="center" vertical="center" wrapText="1" readingOrder="1"/>
    </xf>
    <xf numFmtId="3" fontId="9" fillId="9" borderId="6" xfId="0" applyNumberFormat="1" applyFont="1" applyFill="1" applyBorder="1" applyAlignment="1">
      <alignment horizontal="center" vertical="center" wrapText="1" readingOrder="1"/>
    </xf>
    <xf numFmtId="166" fontId="18" fillId="3" borderId="0" xfId="0" applyNumberFormat="1" applyFont="1" applyFill="1" applyAlignment="1">
      <alignment horizontal="center" vertical="center" wrapText="1" readingOrder="1"/>
    </xf>
    <xf numFmtId="0" fontId="18" fillId="3" borderId="0" xfId="0" applyFont="1" applyFill="1" applyAlignment="1">
      <alignment horizontal="left" vertical="center" wrapText="1" indent="1" readingOrder="1"/>
    </xf>
    <xf numFmtId="167" fontId="18" fillId="3" borderId="0" xfId="0" applyNumberFormat="1" applyFont="1" applyFill="1" applyAlignment="1">
      <alignment horizontal="center" vertical="center" wrapText="1" readingOrder="1"/>
    </xf>
    <xf numFmtId="167" fontId="18" fillId="3" borderId="6" xfId="0" applyNumberFormat="1" applyFont="1" applyFill="1" applyBorder="1" applyAlignment="1">
      <alignment horizontal="center" vertical="center" wrapText="1" readingOrder="1"/>
    </xf>
    <xf numFmtId="167" fontId="18" fillId="9" borderId="6" xfId="0" applyNumberFormat="1" applyFont="1" applyFill="1" applyBorder="1" applyAlignment="1">
      <alignment horizontal="center" vertical="center" wrapText="1" readingOrder="1"/>
    </xf>
    <xf numFmtId="166" fontId="19" fillId="9" borderId="0" xfId="0" applyNumberFormat="1" applyFont="1" applyFill="1" applyAlignment="1">
      <alignment horizontal="center" vertical="center"/>
    </xf>
    <xf numFmtId="166" fontId="19" fillId="9" borderId="6" xfId="0" applyNumberFormat="1" applyFont="1" applyFill="1" applyBorder="1" applyAlignment="1">
      <alignment horizontal="center" vertical="center"/>
    </xf>
    <xf numFmtId="0" fontId="9" fillId="3" borderId="0" xfId="0" applyFont="1" applyFill="1" applyAlignment="1">
      <alignment horizontal="left" vertical="center"/>
    </xf>
    <xf numFmtId="3" fontId="9" fillId="0" borderId="0" xfId="0" applyNumberFormat="1" applyFont="1" applyAlignment="1">
      <alignment horizontal="center" vertical="center"/>
    </xf>
    <xf numFmtId="3" fontId="9" fillId="0" borderId="6" xfId="0" applyNumberFormat="1" applyFont="1" applyBorder="1" applyAlignment="1">
      <alignment horizontal="center" vertical="center"/>
    </xf>
    <xf numFmtId="3" fontId="9" fillId="9" borderId="0" xfId="0" applyNumberFormat="1" applyFont="1" applyFill="1" applyAlignment="1">
      <alignment horizontal="center" vertical="center"/>
    </xf>
    <xf numFmtId="3" fontId="9" fillId="9" borderId="6" xfId="0" applyNumberFormat="1" applyFont="1" applyFill="1" applyBorder="1" applyAlignment="1">
      <alignment horizontal="center" vertical="center"/>
    </xf>
    <xf numFmtId="166" fontId="9" fillId="3" borderId="0" xfId="0" applyNumberFormat="1" applyFont="1" applyFill="1" applyAlignment="1">
      <alignment horizontal="center" vertical="center" wrapText="1" readingOrder="1"/>
    </xf>
    <xf numFmtId="0" fontId="8" fillId="10" borderId="0" xfId="0" applyFont="1" applyFill="1" applyAlignment="1">
      <alignment horizontal="left" vertical="center"/>
    </xf>
    <xf numFmtId="3" fontId="8" fillId="10" borderId="0" xfId="0" applyNumberFormat="1" applyFont="1" applyFill="1" applyAlignment="1">
      <alignment horizontal="center" vertical="center"/>
    </xf>
    <xf numFmtId="3" fontId="8" fillId="11" borderId="0" xfId="0" applyNumberFormat="1" applyFont="1" applyFill="1" applyAlignment="1">
      <alignment horizontal="center" vertical="center"/>
    </xf>
    <xf numFmtId="3" fontId="8" fillId="11" borderId="6" xfId="0" applyNumberFormat="1" applyFont="1" applyFill="1" applyBorder="1" applyAlignment="1">
      <alignment horizontal="center" vertical="center"/>
    </xf>
    <xf numFmtId="166" fontId="8" fillId="10" borderId="0" xfId="0" applyNumberFormat="1" applyFont="1" applyFill="1" applyAlignment="1">
      <alignment horizontal="center" vertical="center" wrapText="1" readingOrder="1"/>
    </xf>
    <xf numFmtId="0" fontId="18" fillId="3" borderId="0" xfId="0" applyFont="1" applyFill="1" applyAlignment="1">
      <alignment horizontal="left" vertical="center" indent="1"/>
    </xf>
    <xf numFmtId="166" fontId="18" fillId="3" borderId="6" xfId="0" applyNumberFormat="1" applyFont="1" applyFill="1" applyBorder="1" applyAlignment="1">
      <alignment horizontal="center" vertical="center" wrapText="1" readingOrder="1"/>
    </xf>
    <xf numFmtId="166" fontId="19" fillId="9" borderId="0" xfId="0" applyNumberFormat="1" applyFont="1" applyFill="1" applyAlignment="1">
      <alignment horizontal="center" vertical="center" wrapText="1" readingOrder="1"/>
    </xf>
    <xf numFmtId="166" fontId="19" fillId="9" borderId="6" xfId="0" applyNumberFormat="1" applyFont="1" applyFill="1" applyBorder="1" applyAlignment="1">
      <alignment horizontal="center" vertical="center" wrapText="1" readingOrder="1"/>
    </xf>
    <xf numFmtId="166" fontId="18" fillId="9" borderId="0" xfId="0" applyNumberFormat="1" applyFont="1" applyFill="1" applyAlignment="1">
      <alignment horizontal="center" vertical="center" wrapText="1" readingOrder="1"/>
    </xf>
    <xf numFmtId="166" fontId="18" fillId="9" borderId="6" xfId="0" applyNumberFormat="1" applyFont="1" applyFill="1" applyBorder="1" applyAlignment="1">
      <alignment horizontal="center" vertical="center" wrapText="1" readingOrder="1"/>
    </xf>
    <xf numFmtId="0" fontId="20" fillId="0" borderId="0" xfId="0" applyFont="1" applyAlignment="1">
      <alignment vertical="center"/>
    </xf>
    <xf numFmtId="0" fontId="8" fillId="10" borderId="7" xfId="0" applyFont="1" applyFill="1" applyBorder="1" applyAlignment="1">
      <alignment horizontal="left" vertical="center" wrapText="1" readingOrder="1"/>
    </xf>
    <xf numFmtId="3" fontId="8" fillId="10" borderId="7" xfId="0" applyNumberFormat="1" applyFont="1" applyFill="1" applyBorder="1" applyAlignment="1">
      <alignment horizontal="center" vertical="center" wrapText="1" readingOrder="1"/>
    </xf>
    <xf numFmtId="3" fontId="8" fillId="10" borderId="8" xfId="0" applyNumberFormat="1" applyFont="1" applyFill="1" applyBorder="1" applyAlignment="1">
      <alignment horizontal="center" vertical="center" wrapText="1" readingOrder="1"/>
    </xf>
    <xf numFmtId="3" fontId="8" fillId="11" borderId="7" xfId="0" applyNumberFormat="1" applyFont="1" applyFill="1" applyBorder="1" applyAlignment="1">
      <alignment horizontal="center" vertical="center" wrapText="1" readingOrder="1"/>
    </xf>
    <xf numFmtId="3" fontId="8" fillId="11" borderId="8" xfId="0" applyNumberFormat="1" applyFont="1" applyFill="1" applyBorder="1" applyAlignment="1">
      <alignment horizontal="center" vertical="center" wrapText="1" readingOrder="1"/>
    </xf>
    <xf numFmtId="166" fontId="21" fillId="10" borderId="7" xfId="0" applyNumberFormat="1" applyFont="1" applyFill="1" applyBorder="1" applyAlignment="1">
      <alignment horizontal="center" vertical="center" wrapText="1" readingOrder="1"/>
    </xf>
    <xf numFmtId="3" fontId="8" fillId="10" borderId="7" xfId="0" applyNumberFormat="1" applyFont="1" applyFill="1" applyBorder="1" applyAlignment="1">
      <alignment horizontal="center" vertical="center"/>
    </xf>
    <xf numFmtId="3" fontId="8" fillId="10" borderId="8" xfId="0" applyNumberFormat="1" applyFont="1" applyFill="1" applyBorder="1" applyAlignment="1">
      <alignment horizontal="center" vertical="center"/>
    </xf>
    <xf numFmtId="3" fontId="8" fillId="11" borderId="7" xfId="0" applyNumberFormat="1" applyFont="1" applyFill="1" applyBorder="1" applyAlignment="1">
      <alignment horizontal="center" vertical="center"/>
    </xf>
    <xf numFmtId="3" fontId="8" fillId="11" borderId="8" xfId="0" applyNumberFormat="1" applyFont="1" applyFill="1" applyBorder="1" applyAlignment="1">
      <alignment horizontal="center" vertical="center"/>
    </xf>
    <xf numFmtId="1" fontId="9" fillId="9" borderId="0" xfId="0" applyNumberFormat="1" applyFont="1" applyFill="1" applyAlignment="1">
      <alignment horizontal="center" vertical="center"/>
    </xf>
    <xf numFmtId="1" fontId="9" fillId="9" borderId="6" xfId="0" applyNumberFormat="1" applyFont="1" applyFill="1" applyBorder="1" applyAlignment="1">
      <alignment horizontal="center" vertical="center"/>
    </xf>
    <xf numFmtId="0" fontId="10" fillId="0" borderId="9" xfId="0" applyFont="1" applyBorder="1" applyAlignment="1">
      <alignment horizontal="left" vertical="top" indent="1"/>
    </xf>
    <xf numFmtId="0" fontId="22" fillId="0" borderId="9" xfId="0" applyFont="1" applyBorder="1" applyAlignment="1">
      <alignment horizontal="left" vertical="center" indent="1"/>
    </xf>
    <xf numFmtId="0" fontId="23" fillId="0" borderId="9" xfId="0" applyFont="1" applyBorder="1" applyAlignment="1">
      <alignment horizontal="left" vertical="center" indent="1"/>
    </xf>
    <xf numFmtId="0" fontId="8" fillId="9" borderId="10" xfId="0" applyFont="1" applyFill="1" applyBorder="1" applyAlignment="1">
      <alignment horizontal="left" vertical="center" indent="1"/>
    </xf>
    <xf numFmtId="0" fontId="8" fillId="9" borderId="11" xfId="0" applyFont="1" applyFill="1" applyBorder="1" applyAlignment="1">
      <alignment horizontal="center" vertical="center" wrapText="1"/>
    </xf>
    <xf numFmtId="0" fontId="6" fillId="2" borderId="0" xfId="0" applyFont="1" applyFill="1" applyAlignment="1">
      <alignment vertical="center"/>
    </xf>
    <xf numFmtId="0" fontId="9" fillId="2" borderId="12" xfId="0" applyFont="1" applyFill="1" applyBorder="1" applyAlignment="1">
      <alignment horizontal="left" vertical="center" indent="1"/>
    </xf>
    <xf numFmtId="168" fontId="5" fillId="2" borderId="0" xfId="0" applyNumberFormat="1" applyFont="1" applyFill="1" applyAlignment="1">
      <alignment horizontal="center" vertical="center"/>
    </xf>
    <xf numFmtId="1" fontId="5" fillId="2" borderId="0" xfId="0" applyNumberFormat="1" applyFont="1" applyFill="1" applyAlignment="1">
      <alignment horizontal="center" vertical="center"/>
    </xf>
    <xf numFmtId="166" fontId="9" fillId="3" borderId="0" xfId="0" applyNumberFormat="1" applyFont="1" applyFill="1" applyAlignment="1">
      <alignment horizontal="center" vertical="center"/>
    </xf>
    <xf numFmtId="10" fontId="5" fillId="2" borderId="0" xfId="0" applyNumberFormat="1" applyFont="1" applyFill="1" applyAlignment="1">
      <alignment horizontal="center" vertical="center"/>
    </xf>
    <xf numFmtId="2" fontId="9" fillId="3" borderId="0" xfId="0" applyNumberFormat="1" applyFont="1" applyFill="1" applyAlignment="1">
      <alignment horizontal="center" vertical="center"/>
    </xf>
    <xf numFmtId="0" fontId="9" fillId="2" borderId="9" xfId="0" applyFont="1" applyFill="1" applyBorder="1" applyAlignment="1">
      <alignment horizontal="left" vertical="center" indent="1"/>
    </xf>
    <xf numFmtId="0" fontId="9" fillId="2" borderId="10" xfId="0" applyFont="1" applyFill="1" applyBorder="1" applyAlignment="1">
      <alignment horizontal="left" vertical="center" indent="1"/>
    </xf>
    <xf numFmtId="0" fontId="8" fillId="10" borderId="12" xfId="0" applyFont="1" applyFill="1" applyBorder="1" applyAlignment="1">
      <alignment horizontal="left" vertical="center" indent="1"/>
    </xf>
    <xf numFmtId="2" fontId="8" fillId="10" borderId="13" xfId="0" applyNumberFormat="1" applyFont="1" applyFill="1" applyBorder="1" applyAlignment="1">
      <alignment horizontal="center" vertical="center"/>
    </xf>
    <xf numFmtId="166" fontId="8" fillId="10" borderId="13" xfId="0" applyNumberFormat="1" applyFont="1" applyFill="1" applyBorder="1" applyAlignment="1">
      <alignment horizontal="center" vertical="center"/>
    </xf>
    <xf numFmtId="9" fontId="8" fillId="10" borderId="13" xfId="0" applyNumberFormat="1" applyFont="1" applyFill="1" applyBorder="1" applyAlignment="1">
      <alignment horizontal="center" vertical="center"/>
    </xf>
    <xf numFmtId="0" fontId="8" fillId="10" borderId="10" xfId="0" applyFont="1" applyFill="1" applyBorder="1" applyAlignment="1">
      <alignment horizontal="left" vertical="center" indent="1"/>
    </xf>
    <xf numFmtId="2" fontId="8" fillId="10" borderId="11" xfId="0" applyNumberFormat="1" applyFont="1" applyFill="1" applyBorder="1" applyAlignment="1">
      <alignment horizontal="center" vertical="center"/>
    </xf>
    <xf numFmtId="166" fontId="8" fillId="10" borderId="11" xfId="0" applyNumberFormat="1" applyFont="1" applyFill="1" applyBorder="1" applyAlignment="1">
      <alignment horizontal="center" vertical="center"/>
    </xf>
    <xf numFmtId="9" fontId="8" fillId="10" borderId="11" xfId="0" applyNumberFormat="1" applyFont="1" applyFill="1" applyBorder="1" applyAlignment="1">
      <alignment horizontal="center" vertical="center"/>
    </xf>
    <xf numFmtId="0" fontId="9" fillId="2" borderId="9" xfId="0" applyFont="1" applyFill="1" applyBorder="1" applyAlignment="1">
      <alignment horizontal="left" vertical="center" indent="1" readingOrder="1"/>
    </xf>
    <xf numFmtId="0" fontId="9" fillId="2" borderId="0" xfId="0" applyFont="1" applyFill="1" applyAlignment="1">
      <alignment vertical="center"/>
    </xf>
    <xf numFmtId="0" fontId="8" fillId="9" borderId="9" xfId="0" applyFont="1" applyFill="1" applyBorder="1" applyAlignment="1">
      <alignment horizontal="left" vertical="center" wrapText="1" indent="1"/>
    </xf>
    <xf numFmtId="0" fontId="8" fillId="9" borderId="0" xfId="0" applyFont="1" applyFill="1" applyAlignment="1">
      <alignment vertical="center" wrapText="1"/>
    </xf>
    <xf numFmtId="0" fontId="8" fillId="9" borderId="0" xfId="0" applyFont="1" applyFill="1" applyAlignment="1">
      <alignment horizontal="center" vertical="center" wrapText="1"/>
    </xf>
    <xf numFmtId="0" fontId="8" fillId="3" borderId="0" xfId="0" applyFont="1" applyFill="1" applyAlignment="1">
      <alignment horizontal="center" vertical="center" wrapText="1"/>
    </xf>
    <xf numFmtId="0" fontId="9" fillId="2" borderId="0" xfId="0" applyFont="1" applyFill="1" applyAlignment="1">
      <alignment horizontal="center" vertical="center" wrapText="1"/>
    </xf>
    <xf numFmtId="0" fontId="8" fillId="2" borderId="0" xfId="0" applyFont="1" applyFill="1" applyAlignment="1">
      <alignment vertical="center" wrapText="1"/>
    </xf>
    <xf numFmtId="0" fontId="8" fillId="2" borderId="0" xfId="0" applyFont="1" applyFill="1" applyAlignment="1">
      <alignment horizontal="center" vertical="center" wrapText="1"/>
    </xf>
    <xf numFmtId="0" fontId="9" fillId="11" borderId="14" xfId="0" applyFont="1" applyFill="1" applyBorder="1" applyAlignment="1">
      <alignment horizontal="left" vertical="center" indent="1"/>
    </xf>
    <xf numFmtId="0" fontId="9" fillId="11" borderId="15" xfId="0" applyFont="1" applyFill="1" applyBorder="1" applyAlignment="1">
      <alignment vertical="center"/>
    </xf>
    <xf numFmtId="2" fontId="9" fillId="11" borderId="15" xfId="0" applyNumberFormat="1" applyFont="1" applyFill="1" applyBorder="1" applyAlignment="1">
      <alignment horizontal="center" vertical="center"/>
    </xf>
    <xf numFmtId="166" fontId="9" fillId="11" borderId="15" xfId="0" applyNumberFormat="1" applyFont="1" applyFill="1" applyBorder="1" applyAlignment="1">
      <alignment horizontal="center" vertical="center"/>
    </xf>
    <xf numFmtId="10" fontId="9" fillId="11" borderId="15" xfId="0" applyNumberFormat="1" applyFont="1" applyFill="1" applyBorder="1" applyAlignment="1">
      <alignment horizontal="center" vertical="center"/>
    </xf>
    <xf numFmtId="2" fontId="9" fillId="10" borderId="15" xfId="0" applyNumberFormat="1" applyFont="1" applyFill="1" applyBorder="1" applyAlignment="1">
      <alignment horizontal="center" vertical="center"/>
    </xf>
    <xf numFmtId="2" fontId="9" fillId="2" borderId="15" xfId="0" applyNumberFormat="1" applyFont="1" applyFill="1" applyBorder="1" applyAlignment="1">
      <alignment horizontal="center" vertical="center"/>
    </xf>
    <xf numFmtId="166" fontId="24" fillId="0" borderId="0" xfId="0" applyNumberFormat="1" applyFont="1" applyAlignment="1">
      <alignment horizontal="right" vertical="center" wrapText="1" readingOrder="1"/>
    </xf>
    <xf numFmtId="3" fontId="15" fillId="0" borderId="0" xfId="0" applyNumberFormat="1" applyFont="1" applyAlignment="1">
      <alignment horizontal="right" vertical="center" wrapText="1" readingOrder="1"/>
    </xf>
    <xf numFmtId="0" fontId="14" fillId="0" borderId="0" xfId="0" applyFont="1" applyAlignment="1">
      <alignment horizontal="right" vertical="center"/>
    </xf>
    <xf numFmtId="0" fontId="8" fillId="9" borderId="9" xfId="0" applyFont="1" applyFill="1" applyBorder="1" applyAlignment="1">
      <alignment horizontal="left" vertical="center" indent="1"/>
    </xf>
    <xf numFmtId="0" fontId="9" fillId="9" borderId="6" xfId="0" applyFont="1" applyFill="1" applyBorder="1" applyAlignment="1">
      <alignment horizontal="right" vertical="center"/>
    </xf>
    <xf numFmtId="0" fontId="25" fillId="0" borderId="0" xfId="0" applyFont="1" applyAlignment="1">
      <alignment vertical="center"/>
    </xf>
    <xf numFmtId="0" fontId="9" fillId="9" borderId="9" xfId="0" applyFont="1" applyFill="1" applyBorder="1" applyAlignment="1">
      <alignment horizontal="left" vertical="center" indent="1"/>
    </xf>
    <xf numFmtId="166" fontId="9" fillId="9" borderId="6" xfId="0" applyNumberFormat="1" applyFont="1" applyFill="1" applyBorder="1" applyAlignment="1">
      <alignment horizontal="center" vertical="center"/>
    </xf>
    <xf numFmtId="166" fontId="9" fillId="9" borderId="6" xfId="0" applyNumberFormat="1" applyFont="1" applyFill="1" applyBorder="1" applyAlignment="1">
      <alignment horizontal="center" vertical="center" wrapText="1" readingOrder="1"/>
    </xf>
    <xf numFmtId="166" fontId="5" fillId="9" borderId="6" xfId="0" applyNumberFormat="1" applyFont="1" applyFill="1" applyBorder="1" applyAlignment="1">
      <alignment horizontal="center" vertical="center" wrapText="1" readingOrder="1"/>
    </xf>
    <xf numFmtId="4" fontId="9" fillId="9" borderId="6" xfId="0" applyNumberFormat="1" applyFont="1" applyFill="1" applyBorder="1" applyAlignment="1">
      <alignment horizontal="center" vertical="center" wrapText="1" readingOrder="1"/>
    </xf>
    <xf numFmtId="0" fontId="9" fillId="9" borderId="10" xfId="0" applyFont="1" applyFill="1" applyBorder="1" applyAlignment="1">
      <alignment horizontal="left" vertical="center" indent="1"/>
    </xf>
    <xf numFmtId="166" fontId="26" fillId="9" borderId="16" xfId="0" applyNumberFormat="1" applyFont="1" applyFill="1" applyBorder="1" applyAlignment="1">
      <alignment horizontal="center" vertical="center" wrapText="1" readingOrder="1"/>
    </xf>
    <xf numFmtId="0" fontId="8" fillId="11" borderId="14" xfId="0" applyFont="1" applyFill="1" applyBorder="1" applyAlignment="1">
      <alignment horizontal="left" vertical="center" indent="1"/>
    </xf>
    <xf numFmtId="166" fontId="8" fillId="11" borderId="17" xfId="0" applyNumberFormat="1" applyFont="1" applyFill="1" applyBorder="1" applyAlignment="1">
      <alignment horizontal="center" vertical="center"/>
    </xf>
    <xf numFmtId="0" fontId="8" fillId="3" borderId="9" xfId="0" applyFont="1" applyFill="1" applyBorder="1" applyAlignment="1">
      <alignment horizontal="left" vertical="center" indent="1"/>
    </xf>
    <xf numFmtId="9" fontId="9" fillId="3" borderId="6" xfId="0" applyNumberFormat="1" applyFont="1" applyFill="1" applyBorder="1" applyAlignment="1">
      <alignment horizontal="center" vertical="center"/>
    </xf>
    <xf numFmtId="0" fontId="9" fillId="3" borderId="9" xfId="0" applyFont="1" applyFill="1" applyBorder="1" applyAlignment="1">
      <alignment horizontal="left" vertical="center" indent="1"/>
    </xf>
    <xf numFmtId="166" fontId="5" fillId="0" borderId="6" xfId="0" applyNumberFormat="1" applyFont="1" applyBorder="1" applyAlignment="1">
      <alignment horizontal="center" vertical="center" wrapText="1" readingOrder="1"/>
    </xf>
    <xf numFmtId="0" fontId="9" fillId="3" borderId="10" xfId="0" applyFont="1" applyFill="1" applyBorder="1" applyAlignment="1">
      <alignment horizontal="left" vertical="center" indent="1"/>
    </xf>
    <xf numFmtId="166" fontId="9" fillId="3" borderId="16" xfId="0" applyNumberFormat="1" applyFont="1" applyFill="1" applyBorder="1" applyAlignment="1">
      <alignment horizontal="center" vertical="center" wrapText="1" readingOrder="1"/>
    </xf>
    <xf numFmtId="10" fontId="8" fillId="11" borderId="17" xfId="0" applyNumberFormat="1" applyFont="1" applyFill="1" applyBorder="1" applyAlignment="1">
      <alignment horizontal="center" vertical="center" wrapText="1" readingOrder="1"/>
    </xf>
    <xf numFmtId="0" fontId="28" fillId="10" borderId="18" xfId="2" applyFont="1" applyFill="1" applyBorder="1" applyAlignment="1">
      <alignment horizontal="left" vertical="center" indent="1"/>
    </xf>
    <xf numFmtId="166" fontId="28" fillId="10" borderId="19" xfId="2" applyNumberFormat="1" applyFont="1" applyFill="1" applyBorder="1" applyAlignment="1">
      <alignment horizontal="center" vertical="center" wrapText="1" readingOrder="1"/>
    </xf>
    <xf numFmtId="0" fontId="9" fillId="0" borderId="0" xfId="0" applyFont="1" applyAlignment="1">
      <alignment horizontal="left" vertical="center" wrapText="1" readingOrder="1"/>
    </xf>
    <xf numFmtId="3" fontId="9" fillId="0" borderId="0" xfId="0" applyNumberFormat="1" applyFont="1" applyAlignment="1">
      <alignment horizontal="right" vertical="center" wrapText="1" readingOrder="1"/>
    </xf>
    <xf numFmtId="3" fontId="8" fillId="0" borderId="0" xfId="0" applyNumberFormat="1" applyFont="1" applyAlignment="1">
      <alignment horizontal="right" vertical="center" wrapText="1" readingOrder="1"/>
    </xf>
    <xf numFmtId="0" fontId="29" fillId="0" borderId="0" xfId="0" applyFont="1" applyAlignment="1">
      <alignment horizontal="left" vertical="top" indent="1"/>
    </xf>
    <xf numFmtId="3" fontId="9" fillId="3" borderId="0" xfId="0" applyNumberFormat="1" applyFont="1" applyFill="1" applyAlignment="1">
      <alignment horizontal="center" vertical="center" wrapText="1" readingOrder="1"/>
    </xf>
    <xf numFmtId="3" fontId="31" fillId="0" borderId="0" xfId="0" applyNumberFormat="1" applyFont="1" applyAlignment="1">
      <alignment vertical="center"/>
    </xf>
    <xf numFmtId="166" fontId="11" fillId="0" borderId="0" xfId="0" applyNumberFormat="1" applyFont="1" applyAlignment="1">
      <alignment vertical="center"/>
    </xf>
    <xf numFmtId="9" fontId="21" fillId="3" borderId="0" xfId="0" applyNumberFormat="1" applyFont="1" applyFill="1" applyAlignment="1">
      <alignment horizontal="center" vertical="center" wrapText="1" readingOrder="1"/>
    </xf>
    <xf numFmtId="3" fontId="9" fillId="3" borderId="6" xfId="0" applyNumberFormat="1" applyFont="1" applyFill="1" applyBorder="1" applyAlignment="1">
      <alignment horizontal="center" vertical="center" wrapText="1" readingOrder="1"/>
    </xf>
    <xf numFmtId="3" fontId="8" fillId="3" borderId="0" xfId="0" applyNumberFormat="1" applyFont="1" applyFill="1" applyAlignment="1">
      <alignment horizontal="center" vertical="center" wrapText="1" readingOrder="1"/>
    </xf>
    <xf numFmtId="0" fontId="30" fillId="0" borderId="0" xfId="0" applyFont="1" applyAlignment="1">
      <alignment vertical="center" textRotation="90"/>
    </xf>
    <xf numFmtId="1" fontId="11" fillId="0" borderId="0" xfId="0" applyNumberFormat="1" applyFont="1" applyAlignment="1">
      <alignment vertical="center"/>
    </xf>
    <xf numFmtId="166" fontId="8" fillId="3" borderId="0" xfId="0" applyNumberFormat="1" applyFont="1" applyFill="1" applyAlignment="1">
      <alignment horizontal="center" vertical="center" wrapText="1" readingOrder="1"/>
    </xf>
    <xf numFmtId="166" fontId="9" fillId="9" borderId="0" xfId="0" applyNumberFormat="1" applyFont="1" applyFill="1" applyAlignment="1">
      <alignment horizontal="center" vertical="center" wrapText="1" readingOrder="1"/>
    </xf>
    <xf numFmtId="169" fontId="26" fillId="9" borderId="0" xfId="0" applyNumberFormat="1" applyFont="1" applyFill="1" applyAlignment="1">
      <alignment horizontal="center" vertical="center" wrapText="1" readingOrder="1"/>
    </xf>
    <xf numFmtId="169" fontId="9" fillId="9" borderId="0" xfId="0" applyNumberFormat="1" applyFont="1" applyFill="1" applyAlignment="1">
      <alignment horizontal="center" vertical="center" wrapText="1" readingOrder="1"/>
    </xf>
    <xf numFmtId="169" fontId="9" fillId="9" borderId="6" xfId="0" applyNumberFormat="1" applyFont="1" applyFill="1" applyBorder="1" applyAlignment="1">
      <alignment horizontal="center" vertical="center" wrapText="1" readingOrder="1"/>
    </xf>
    <xf numFmtId="4" fontId="9" fillId="9" borderId="0" xfId="0" applyNumberFormat="1" applyFont="1" applyFill="1" applyAlignment="1">
      <alignment horizontal="center" vertical="center" wrapText="1" readingOrder="1"/>
    </xf>
    <xf numFmtId="0" fontId="8" fillId="10" borderId="20" xfId="0" applyFont="1" applyFill="1" applyBorder="1" applyAlignment="1">
      <alignment horizontal="left" vertical="center" wrapText="1" readingOrder="1"/>
    </xf>
    <xf numFmtId="3" fontId="8" fillId="10" borderId="20" xfId="0" applyNumberFormat="1" applyFont="1" applyFill="1" applyBorder="1" applyAlignment="1">
      <alignment horizontal="center" vertical="center" wrapText="1" readingOrder="1"/>
    </xf>
    <xf numFmtId="3" fontId="8" fillId="10" borderId="21" xfId="0" applyNumberFormat="1" applyFont="1" applyFill="1" applyBorder="1" applyAlignment="1">
      <alignment horizontal="center" vertical="center" wrapText="1" readingOrder="1"/>
    </xf>
    <xf numFmtId="3" fontId="8" fillId="11" borderId="20" xfId="0" applyNumberFormat="1" applyFont="1" applyFill="1" applyBorder="1" applyAlignment="1">
      <alignment horizontal="center" vertical="center" wrapText="1" readingOrder="1"/>
    </xf>
    <xf numFmtId="3" fontId="8" fillId="11" borderId="21" xfId="0" applyNumberFormat="1" applyFont="1" applyFill="1" applyBorder="1" applyAlignment="1">
      <alignment horizontal="center" vertical="center" wrapText="1" readingOrder="1"/>
    </xf>
    <xf numFmtId="0" fontId="32" fillId="0" borderId="2" xfId="0" applyFont="1" applyBorder="1" applyAlignment="1">
      <alignment vertical="center"/>
    </xf>
    <xf numFmtId="164" fontId="8" fillId="0" borderId="0" xfId="0" applyNumberFormat="1" applyFont="1" applyAlignment="1">
      <alignment horizontal="center" vertical="center"/>
    </xf>
    <xf numFmtId="165" fontId="8" fillId="0" borderId="0" xfId="0" applyNumberFormat="1" applyFont="1" applyAlignment="1">
      <alignment horizontal="center" vertical="center"/>
    </xf>
    <xf numFmtId="0" fontId="8" fillId="9" borderId="0" xfId="0" applyFont="1" applyFill="1" applyAlignment="1">
      <alignment vertical="center"/>
    </xf>
    <xf numFmtId="3" fontId="8" fillId="9" borderId="0" xfId="0" applyNumberFormat="1" applyFont="1" applyFill="1" applyAlignment="1">
      <alignment vertical="center"/>
    </xf>
    <xf numFmtId="0" fontId="9" fillId="9" borderId="22" xfId="0" applyFont="1" applyFill="1" applyBorder="1" applyAlignment="1">
      <alignment vertical="center"/>
    </xf>
    <xf numFmtId="170" fontId="9" fillId="9" borderId="22" xfId="0" applyNumberFormat="1" applyFont="1" applyFill="1" applyBorder="1" applyAlignment="1">
      <alignment horizontal="center" vertical="center"/>
    </xf>
    <xf numFmtId="0" fontId="9" fillId="9" borderId="0" xfId="0" applyFont="1" applyFill="1" applyAlignment="1">
      <alignment horizontal="left" vertical="center" wrapText="1" indent="1" readingOrder="1"/>
    </xf>
    <xf numFmtId="3" fontId="5" fillId="0" borderId="0" xfId="0" applyNumberFormat="1" applyFont="1" applyAlignment="1">
      <alignment horizontal="right" vertical="center" wrapText="1" readingOrder="1"/>
    </xf>
    <xf numFmtId="0" fontId="23" fillId="9" borderId="0" xfId="0" applyFont="1" applyFill="1" applyAlignment="1">
      <alignment horizontal="left" vertical="center" indent="1"/>
    </xf>
    <xf numFmtId="0" fontId="9" fillId="9" borderId="0" xfId="0" applyFont="1" applyFill="1" applyAlignment="1">
      <alignment vertical="center"/>
    </xf>
    <xf numFmtId="170" fontId="9" fillId="9" borderId="0" xfId="0" applyNumberFormat="1" applyFont="1" applyFill="1" applyAlignment="1">
      <alignment horizontal="center" vertical="center"/>
    </xf>
    <xf numFmtId="0" fontId="9" fillId="9" borderId="0" xfId="0" applyFont="1" applyFill="1" applyAlignment="1">
      <alignment horizontal="left" vertical="center" indent="1"/>
    </xf>
    <xf numFmtId="3" fontId="9" fillId="9" borderId="0" xfId="0" applyNumberFormat="1" applyFont="1" applyFill="1" applyAlignment="1">
      <alignment horizontal="right" vertical="center" wrapText="1" readingOrder="1"/>
    </xf>
    <xf numFmtId="0" fontId="11" fillId="9" borderId="0" xfId="0" applyFont="1" applyFill="1" applyAlignment="1">
      <alignment vertical="center"/>
    </xf>
    <xf numFmtId="0" fontId="11" fillId="9" borderId="0" xfId="0" applyFont="1" applyFill="1" applyAlignment="1">
      <alignment horizontal="center" vertical="center"/>
    </xf>
    <xf numFmtId="3" fontId="9" fillId="9" borderId="0" xfId="0" applyNumberFormat="1" applyFont="1" applyFill="1" applyAlignment="1">
      <alignment vertical="center"/>
    </xf>
    <xf numFmtId="0" fontId="9" fillId="9" borderId="2" xfId="0" applyFont="1" applyFill="1" applyBorder="1" applyAlignment="1">
      <alignment vertical="center"/>
    </xf>
    <xf numFmtId="4" fontId="9" fillId="9" borderId="2" xfId="0" applyNumberFormat="1" applyFont="1" applyFill="1" applyBorder="1" applyAlignment="1">
      <alignment vertical="center"/>
    </xf>
    <xf numFmtId="170" fontId="9" fillId="9" borderId="2" xfId="0" applyNumberFormat="1" applyFont="1" applyFill="1" applyBorder="1" applyAlignment="1">
      <alignment horizontal="center" vertical="center"/>
    </xf>
    <xf numFmtId="0" fontId="8" fillId="0" borderId="2" xfId="0" applyFont="1" applyBorder="1" applyAlignment="1">
      <alignment horizontal="left" vertical="center" wrapText="1" readingOrder="1"/>
    </xf>
    <xf numFmtId="3" fontId="9" fillId="0" borderId="2" xfId="0" applyNumberFormat="1" applyFont="1" applyBorder="1" applyAlignment="1">
      <alignment horizontal="right" vertical="center" wrapText="1" readingOrder="1"/>
    </xf>
    <xf numFmtId="0" fontId="9" fillId="9" borderId="0" xfId="0" applyFont="1" applyFill="1" applyAlignment="1">
      <alignment horizontal="left" vertical="center" wrapText="1" readingOrder="1"/>
    </xf>
    <xf numFmtId="166" fontId="9" fillId="0" borderId="0" xfId="0" applyNumberFormat="1" applyFont="1" applyAlignment="1">
      <alignment horizontal="right" vertical="center" wrapText="1" readingOrder="1"/>
    </xf>
    <xf numFmtId="166" fontId="33" fillId="0" borderId="0" xfId="0" applyNumberFormat="1" applyFont="1" applyAlignment="1">
      <alignment horizontal="right" vertical="center" wrapText="1" readingOrder="1"/>
    </xf>
    <xf numFmtId="3" fontId="34" fillId="0" borderId="0" xfId="0" applyNumberFormat="1" applyFont="1" applyAlignment="1">
      <alignment vertical="center"/>
    </xf>
    <xf numFmtId="3" fontId="35" fillId="0" borderId="0" xfId="0" applyNumberFormat="1" applyFont="1" applyAlignment="1">
      <alignment vertical="center"/>
    </xf>
    <xf numFmtId="166" fontId="32" fillId="0" borderId="0" xfId="0" applyNumberFormat="1" applyFont="1" applyAlignment="1">
      <alignment vertical="center"/>
    </xf>
    <xf numFmtId="166" fontId="36" fillId="0" borderId="0" xfId="0" applyNumberFormat="1" applyFont="1" applyAlignment="1">
      <alignment vertical="center"/>
    </xf>
    <xf numFmtId="3" fontId="18" fillId="9" borderId="0" xfId="0" applyNumberFormat="1" applyFont="1" applyFill="1" applyAlignment="1">
      <alignment horizontal="left" vertical="center" indent="1"/>
    </xf>
    <xf numFmtId="171" fontId="18" fillId="9" borderId="0" xfId="0" applyNumberFormat="1" applyFont="1" applyFill="1" applyAlignment="1">
      <alignment horizontal="right" vertical="center" wrapText="1" readingOrder="1"/>
    </xf>
    <xf numFmtId="0" fontId="16" fillId="0" borderId="0" xfId="0" applyFont="1" applyAlignment="1">
      <alignment vertical="center" textRotation="90"/>
    </xf>
    <xf numFmtId="3" fontId="11" fillId="0" borderId="0" xfId="0" applyNumberFormat="1" applyFont="1" applyAlignment="1">
      <alignment vertical="center"/>
    </xf>
    <xf numFmtId="169" fontId="9" fillId="9" borderId="0" xfId="0" applyNumberFormat="1" applyFont="1" applyFill="1" applyAlignment="1">
      <alignment horizontal="right" vertical="center" wrapText="1" readingOrder="1"/>
    </xf>
    <xf numFmtId="3" fontId="32" fillId="0" borderId="0" xfId="0" applyNumberFormat="1" applyFont="1" applyAlignment="1">
      <alignment vertical="center"/>
    </xf>
    <xf numFmtId="0" fontId="8" fillId="10" borderId="7" xfId="0" applyFont="1" applyFill="1" applyBorder="1" applyAlignment="1">
      <alignment horizontal="left" vertical="center"/>
    </xf>
    <xf numFmtId="3" fontId="8" fillId="10" borderId="7" xfId="0" applyNumberFormat="1" applyFont="1" applyFill="1" applyBorder="1" applyAlignment="1">
      <alignment horizontal="right" vertical="center" wrapText="1" readingOrder="1"/>
    </xf>
    <xf numFmtId="9" fontId="18" fillId="3" borderId="0" xfId="0" applyNumberFormat="1" applyFont="1" applyFill="1" applyAlignment="1">
      <alignment horizontal="right" vertical="center" wrapText="1" readingOrder="1"/>
    </xf>
    <xf numFmtId="0" fontId="6" fillId="0" borderId="0" xfId="0" applyFont="1" applyAlignment="1">
      <alignment horizontal="left" vertical="center" wrapText="1" readingOrder="1"/>
    </xf>
    <xf numFmtId="3" fontId="24" fillId="0" borderId="0" xfId="0" applyNumberFormat="1" applyFont="1" applyAlignment="1">
      <alignment horizontal="right" vertical="center" wrapText="1" readingOrder="1"/>
    </xf>
    <xf numFmtId="0" fontId="25" fillId="0" borderId="0" xfId="0" applyFont="1" applyAlignment="1">
      <alignment horizontal="left" vertical="center"/>
    </xf>
    <xf numFmtId="166" fontId="25" fillId="0" borderId="0" xfId="0" applyNumberFormat="1" applyFont="1" applyAlignment="1">
      <alignment horizontal="right" vertical="center" wrapText="1" readingOrder="1"/>
    </xf>
    <xf numFmtId="3" fontId="6" fillId="0" borderId="0" xfId="0" applyNumberFormat="1" applyFont="1" applyAlignment="1">
      <alignment horizontal="left" vertical="center" readingOrder="1"/>
    </xf>
    <xf numFmtId="3" fontId="15" fillId="2" borderId="0" xfId="0" applyNumberFormat="1" applyFont="1" applyFill="1" applyAlignment="1">
      <alignment horizontal="right" vertical="center" wrapText="1" readingOrder="1"/>
    </xf>
    <xf numFmtId="3" fontId="6" fillId="2" borderId="0" xfId="0" applyNumberFormat="1" applyFont="1" applyFill="1" applyAlignment="1">
      <alignment horizontal="right" vertical="center" wrapText="1" readingOrder="1"/>
    </xf>
    <xf numFmtId="0" fontId="6" fillId="0" borderId="0" xfId="0" applyFont="1" applyAlignment="1">
      <alignment horizontal="right" vertical="center"/>
    </xf>
    <xf numFmtId="0" fontId="6" fillId="0" borderId="0" xfId="0" applyFont="1" applyAlignment="1">
      <alignment horizontal="left" vertical="center"/>
    </xf>
    <xf numFmtId="9" fontId="6" fillId="0" borderId="0" xfId="0" applyNumberFormat="1" applyFont="1" applyAlignment="1">
      <alignment vertical="center"/>
    </xf>
    <xf numFmtId="166" fontId="6" fillId="0" borderId="0" xfId="0" applyNumberFormat="1" applyFont="1" applyAlignment="1">
      <alignment horizontal="right" vertical="center" wrapText="1" readingOrder="1"/>
    </xf>
    <xf numFmtId="0" fontId="14" fillId="2" borderId="0" xfId="0" applyFont="1" applyFill="1" applyAlignment="1">
      <alignment vertical="center"/>
    </xf>
    <xf numFmtId="0" fontId="24" fillId="0" borderId="0" xfId="0" applyFont="1" applyAlignment="1">
      <alignment horizontal="left" vertical="center"/>
    </xf>
    <xf numFmtId="0" fontId="6" fillId="0" borderId="0" xfId="0" applyFont="1" applyAlignment="1">
      <alignment horizontal="left" vertical="center" readingOrder="1"/>
    </xf>
    <xf numFmtId="9" fontId="14" fillId="0" borderId="0" xfId="0" applyNumberFormat="1" applyFont="1" applyAlignment="1">
      <alignment horizontal="right" vertical="center" wrapText="1" readingOrder="1"/>
    </xf>
    <xf numFmtId="0" fontId="37" fillId="0" borderId="0" xfId="0" applyFont="1" applyAlignment="1">
      <alignment vertical="center" wrapText="1" readingOrder="1"/>
    </xf>
    <xf numFmtId="0" fontId="37" fillId="0" borderId="0" xfId="0" applyFont="1" applyAlignment="1">
      <alignment horizontal="right" vertical="center" wrapText="1" readingOrder="1"/>
    </xf>
    <xf numFmtId="0" fontId="15" fillId="0" borderId="0" xfId="0" applyFont="1" applyAlignment="1">
      <alignment horizontal="left" vertical="center" wrapText="1" readingOrder="1"/>
    </xf>
    <xf numFmtId="0" fontId="15" fillId="0" borderId="0" xfId="0" applyFont="1" applyAlignment="1">
      <alignment horizontal="right" vertical="center" wrapText="1" readingOrder="1"/>
    </xf>
    <xf numFmtId="3" fontId="15" fillId="0" borderId="0" xfId="0" applyNumberFormat="1" applyFont="1" applyAlignment="1">
      <alignment horizontal="right" vertical="center" wrapText="1"/>
    </xf>
    <xf numFmtId="0" fontId="14" fillId="0" borderId="0" xfId="0" applyFont="1" applyAlignment="1">
      <alignment vertical="center" wrapText="1" readingOrder="1"/>
    </xf>
    <xf numFmtId="0" fontId="14" fillId="0" borderId="0" xfId="0" applyFont="1" applyAlignment="1">
      <alignment horizontal="right" vertical="center" wrapText="1" readingOrder="1"/>
    </xf>
    <xf numFmtId="0" fontId="15" fillId="0" borderId="0" xfId="0" applyFont="1" applyAlignment="1">
      <alignment vertical="center" wrapText="1" readingOrder="1"/>
    </xf>
    <xf numFmtId="0" fontId="5" fillId="0" borderId="2" xfId="0" applyFont="1" applyBorder="1" applyAlignment="1">
      <alignment horizontal="left" vertical="top" wrapText="1"/>
    </xf>
    <xf numFmtId="0" fontId="6" fillId="0" borderId="0" xfId="0" applyFont="1" applyAlignment="1">
      <alignment vertical="center"/>
    </xf>
    <xf numFmtId="0" fontId="0" fillId="0" borderId="2" xfId="0" applyBorder="1"/>
    <xf numFmtId="0" fontId="10" fillId="0" borderId="2" xfId="0" applyFont="1" applyBorder="1" applyAlignment="1">
      <alignment horizontal="left" vertical="top"/>
    </xf>
    <xf numFmtId="0" fontId="1" fillId="0" borderId="0" xfId="1"/>
    <xf numFmtId="0" fontId="15" fillId="0" borderId="0" xfId="0" applyFont="1" applyAlignment="1">
      <alignment horizontal="left" vertical="center" wrapText="1" readingOrder="1"/>
    </xf>
    <xf numFmtId="0" fontId="14" fillId="0" borderId="0" xfId="0" applyFont="1" applyAlignment="1">
      <alignment vertical="center"/>
    </xf>
    <xf numFmtId="0" fontId="16" fillId="0" borderId="0" xfId="0" applyFont="1" applyAlignment="1">
      <alignment horizontal="center" vertical="center"/>
    </xf>
    <xf numFmtId="0" fontId="11" fillId="0" borderId="0" xfId="0" applyFont="1" applyAlignment="1">
      <alignment vertical="center"/>
    </xf>
    <xf numFmtId="0" fontId="30" fillId="0" borderId="0" xfId="0" applyFont="1" applyAlignment="1">
      <alignment horizontal="center" vertical="center"/>
    </xf>
    <xf numFmtId="3" fontId="5" fillId="2" borderId="0" xfId="0" applyNumberFormat="1" applyFont="1" applyFill="1" applyAlignment="1">
      <alignment horizontal="center" vertical="center"/>
    </xf>
  </cellXfs>
  <cellStyles count="3">
    <cellStyle name="Normal" xfId="0" builtinId="0"/>
    <cellStyle name="Normal 2" xfId="1" xr:uid="{1C22A0F8-E0A8-470A-8F38-9FE8D26F479C}"/>
    <cellStyle name="Total 2" xfId="2" xr:uid="{BE684FEF-B3F5-4DC1-931D-EC4420231D0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SupportingPropertyBagStructure" Target="richData/rdsupportingpropertybagstructure.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ichStyles" Target="richData/richStyles.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externalLink" Target="externalLinks/externalLink2.xml"/><Relationship Id="rId15" Type="http://schemas.microsoft.com/office/2017/06/relationships/rdRichValueTypes" Target="richData/rdRichValueTypes.xml"/><Relationship Id="rId10" Type="http://schemas.microsoft.com/office/2017/06/relationships/rdRichValue" Target="richData/rdrichvalue.xml"/><Relationship Id="rId4" Type="http://schemas.openxmlformats.org/officeDocument/2006/relationships/externalLink" Target="externalLinks/externalLink1.xml"/><Relationship Id="rId9" Type="http://schemas.openxmlformats.org/officeDocument/2006/relationships/sheetMetadata" Target="metadata.xml"/><Relationship Id="rId14" Type="http://schemas.microsoft.com/office/2017/06/relationships/rdSupportingPropertyBag" Target="richData/rdsupportingpropertybag.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IC-Roles-and-Responsibilities-Template8"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isclaimer-Smartsheet-Templates_Solution1-Tab5"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oles &amp; Responsibilities - EX"/>
      <sheetName val="Roles &amp; Responsibilities BLANK"/>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tenance Work Order"/>
      <sheetName val="BLANK - Maintenance Work Order "/>
      <sheetName val="- Disclaimer -"/>
    </sheetNames>
    <sheetDataSet>
      <sheetData sheetId="0"/>
      <sheetData sheetId="1" refreshError="1"/>
      <sheetData sheetId="2"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https://www.bing.com/financeapi/forcetrigger?t=r6dwra&amp;q=US10Y&amp;form=skydnc</v>
    <v>Learn more on Bing</v>
  </rv>
  <rv s="1">
    <v>en-CA</v>
    <v>r6dwra</v>
    <v>268435456</v>
    <v>1</v>
    <v>Powered by Refinitiv</v>
    <v>0</v>
    <v>US Treasury 10Y</v>
    <v>2</v>
    <v>3</v>
    <v>Finance</v>
    <v>4</v>
    <v>0.16300000000000001</v>
    <v>3.8262999999999998E-2</v>
    <v>US</v>
    <v>USD</v>
    <v>Bond</v>
    <v>45756.722222222219</v>
    <v>0</v>
    <v>49355</v>
    <v>US Treasury 10Y</v>
    <v>4.26</v>
    <v>4.423</v>
    <v>US10Y</v>
    <v>US Treasury 10Y</v>
    <v>4.3049999999999998E-2</v>
    <v>4.1950000000000001E-2</v>
    <v>4.3656E-2</v>
    <v>4.1570000000000003E-2</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earnMoreOnLink" t="r"/>
    <k n="Maturity"/>
    <k n="Name" t="s"/>
    <k n="Previous close"/>
    <k n="Price"/>
    <k n="Ticker symbol" t="s"/>
    <k n="UniqueName" t="s"/>
    <k n="Yield last month"/>
    <k n="Yield last week"/>
    <k n="Yield last year"/>
    <k n="Yield yesterday"/>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%EntityCulture</v>
      <v t="s">%EntityId</v>
      <v t="s">_Icon</v>
      <v t="s">_Display</v>
      <v t="s">Name</v>
      <v t="s">Price</v>
      <v t="s">_SubLabel</v>
      <v t="s">Last trade time</v>
      <v t="s">Ticker symbol</v>
      <v t="s">Change</v>
      <v t="s">Change (%)</v>
      <v t="s">Currency</v>
      <v t="s">Previous close</v>
      <v t="s">Yield yesterday</v>
      <v t="s">Yield last week</v>
      <v t="s">Yield last month</v>
      <v t="s">Yield last year</v>
      <v t="s">Maturity</v>
      <v t="s">Country/region</v>
      <v t="s">Instrument type</v>
      <v t="s">_Flags</v>
      <v t="s">UniqueName</v>
      <v t="s">_DisplayString</v>
      <v t="s">LearnMoreOnLink</v>
      <v t="s">%ProviderInfo</v>
    </a>
  </spbArrays>
  <spbData count="5">
    <spb s="0">
      <v>0</v>
      <v>Name</v>
      <v>LearnMoreOnLink</v>
    </spb>
    <spb s="1">
      <v>0</v>
      <v>0</v>
      <v>0</v>
    </spb>
    <spb s="2">
      <v>1</v>
      <v>1</v>
      <v>1</v>
    </spb>
    <spb s="3">
      <v>1</v>
      <v>2</v>
      <v>2</v>
      <v>3</v>
      <v>4</v>
      <v>2</v>
      <v>5</v>
      <v>4</v>
      <v>4</v>
      <v>4</v>
      <v>4</v>
      <v>6</v>
    </spb>
    <spb s="4">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UniqueName" t="spb"/>
    <k n="`%ProviderInfo" t="spb"/>
    <k n="LearnMoreOnLink" t="spb"/>
  </s>
  <s>
    <k n="Name" t="i"/>
    <k n="Price" t="i"/>
    <k n="Change" t="i"/>
    <k n="Maturity" t="i"/>
    <k n="Change (%)" t="i"/>
    <k n="Previous close" t="i"/>
    <k n="Last trade time" t="i"/>
    <k n="Yield last week" t="i"/>
    <k n="Yield last year" t="i"/>
    <k n="Yield yesterday" t="i"/>
    <k n="Yield last month"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5">
    <x:dxf>
      <x:numFmt numFmtId="0" formatCode="General"/>
    </x:dxf>
    <x:dxf>
      <x:numFmt numFmtId="19" formatCode="yyyy/mm/dd"/>
    </x:dxf>
    <x:dxf>
      <x:numFmt numFmtId="14" formatCode="0.00%"/>
    </x:dxf>
    <x:dxf>
      <x:numFmt numFmtId="27" formatCode="yyyy/mm/dd\ h:mm"/>
    </x:dxf>
    <x:dxf>
      <x:numFmt numFmtId="2" formatCode="0.00"/>
    </x:dxf>
  </dxfs>
  <richProperties>
    <rPr n="IsTitleField" t="b"/>
    <rPr n="NumberFormat" t="s"/>
  </richProperties>
  <richStyles>
    <rSty>
      <rpv i="0">1</rpv>
    </rSty>
    <rSty dxfid="0">
      <rpv i="1">_([$$-en-US]* #,##0.00_);_([$$-en-US]* (#,##0.00);_([$$-en-US]* "-"??_);_(@_)</rpv>
    </rSty>
    <rSty dxfid="1"/>
    <rSty dxfid="2"/>
    <rSty dxfid="3"/>
    <rSty dxfid="4">
      <rpv i="1">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5C8BE-2270-4BCA-B30D-1B4F274FA07E}">
  <sheetPr>
    <tabColor theme="3" tint="0.39997558519241921"/>
    <pageSetUpPr fitToPage="1"/>
  </sheetPr>
  <dimension ref="B1:EQ165"/>
  <sheetViews>
    <sheetView showGridLines="0" topLeftCell="A30" zoomScale="115" zoomScaleNormal="115" workbookViewId="0">
      <selection activeCell="G18" sqref="G18"/>
    </sheetView>
  </sheetViews>
  <sheetFormatPr defaultColWidth="13.5" defaultRowHeight="11.55" outlineLevelRow="1" x14ac:dyDescent="0.25"/>
  <cols>
    <col min="1" max="1" width="3.375" style="15" customWidth="1"/>
    <col min="2" max="2" width="49" style="15" customWidth="1"/>
    <col min="3" max="4" width="26.625" style="15" customWidth="1"/>
    <col min="5" max="5" width="27.375" style="15" customWidth="1"/>
    <col min="6" max="11" width="26.625" style="15" customWidth="1"/>
    <col min="12" max="12" width="14.25" style="114" customWidth="1"/>
    <col min="13" max="13" width="0.125" style="114" customWidth="1"/>
    <col min="14" max="14" width="15.125" style="15" customWidth="1"/>
    <col min="15" max="15" width="13.625" style="15" customWidth="1"/>
    <col min="16" max="16" width="3.25" style="15" customWidth="1"/>
    <col min="17" max="17" width="11.875" style="15" customWidth="1"/>
    <col min="18" max="18" width="10.5" style="15" customWidth="1"/>
    <col min="19" max="19" width="11.625" style="15" customWidth="1"/>
    <col min="20" max="20" width="8.875" style="15" customWidth="1"/>
    <col min="21" max="21" width="3.125" style="15" customWidth="1"/>
    <col min="22" max="24" width="13.5" style="15" customWidth="1"/>
    <col min="25" max="25" width="10" style="15" customWidth="1"/>
    <col min="26" max="28" width="13.5" style="15" customWidth="1"/>
    <col min="29" max="16384" width="13.5" style="15"/>
  </cols>
  <sheetData>
    <row r="1" spans="2:147" s="4" customFormat="1" ht="45" customHeight="1" x14ac:dyDescent="0.25">
      <c r="B1" s="1" t="s">
        <v>0</v>
      </c>
      <c r="C1" s="2"/>
      <c r="D1" s="2"/>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row>
    <row r="2" spans="2:147" s="5" customFormat="1" ht="25.15" customHeight="1" x14ac:dyDescent="0.25">
      <c r="B2" s="220" t="s">
        <v>1</v>
      </c>
      <c r="C2" s="221"/>
      <c r="D2" s="6"/>
      <c r="F2" s="7"/>
      <c r="G2" s="7"/>
      <c r="H2" s="7"/>
      <c r="I2" s="7"/>
    </row>
    <row r="3" spans="2:147" s="5" customFormat="1" ht="45" customHeight="1" x14ac:dyDescent="0.25">
      <c r="B3" s="222"/>
      <c r="C3" s="222"/>
      <c r="D3" s="8"/>
      <c r="E3" s="223" t="s">
        <v>2</v>
      </c>
      <c r="F3" s="222"/>
      <c r="G3" s="7"/>
      <c r="H3" s="7"/>
      <c r="I3" s="7"/>
    </row>
    <row r="4" spans="2:147" s="5" customFormat="1" ht="27.2" customHeight="1" x14ac:dyDescent="0.25">
      <c r="B4" s="9" t="s">
        <v>3</v>
      </c>
      <c r="C4" s="10"/>
      <c r="D4" s="11"/>
      <c r="E4" s="9" t="s">
        <v>4</v>
      </c>
      <c r="F4" s="10" t="e" vm="1">
        <v>#VALUE!</v>
      </c>
      <c r="G4" s="7"/>
      <c r="H4" s="7"/>
      <c r="I4" s="7"/>
    </row>
    <row r="5" spans="2:147" s="13" customFormat="1" ht="25.15" customHeight="1" x14ac:dyDescent="0.25">
      <c r="B5" s="9" t="s">
        <v>5</v>
      </c>
      <c r="C5" s="10"/>
      <c r="D5" s="11"/>
      <c r="E5" s="9" t="s">
        <v>6</v>
      </c>
      <c r="F5" s="12">
        <v>0.05</v>
      </c>
    </row>
    <row r="6" spans="2:147" s="13" customFormat="1" ht="25.15" customHeight="1" thickBot="1" x14ac:dyDescent="0.3">
      <c r="B6" s="14" t="s">
        <v>7</v>
      </c>
      <c r="C6" s="12"/>
      <c r="E6" s="9" t="s">
        <v>8</v>
      </c>
      <c r="F6" s="12">
        <v>0.02</v>
      </c>
    </row>
    <row r="7" spans="2:147" ht="14.95" customHeight="1" x14ac:dyDescent="0.25">
      <c r="D7" s="16"/>
      <c r="L7" s="15"/>
      <c r="M7" s="17"/>
    </row>
    <row r="8" spans="2:147" s="5" customFormat="1" ht="25.15" customHeight="1" x14ac:dyDescent="0.25">
      <c r="B8" s="18" t="s">
        <v>9</v>
      </c>
      <c r="C8" s="7"/>
      <c r="D8" s="7"/>
      <c r="E8" s="7"/>
      <c r="F8" s="7"/>
      <c r="G8" s="7"/>
      <c r="H8" s="7"/>
      <c r="I8" s="7"/>
    </row>
    <row r="9" spans="2:147" s="26" customFormat="1" ht="18" customHeight="1" x14ac:dyDescent="0.25">
      <c r="B9" s="15"/>
      <c r="C9" s="19" t="s">
        <v>10</v>
      </c>
      <c r="D9" s="19"/>
      <c r="E9" s="19"/>
      <c r="F9" s="20"/>
      <c r="G9" s="21" t="s">
        <v>11</v>
      </c>
      <c r="H9" s="22"/>
      <c r="I9" s="22"/>
      <c r="J9" s="23"/>
      <c r="K9" s="24"/>
      <c r="L9" s="25" t="s">
        <v>12</v>
      </c>
      <c r="M9" s="25" t="s">
        <v>12</v>
      </c>
    </row>
    <row r="10" spans="2:147" s="26" customFormat="1" ht="18" customHeight="1" x14ac:dyDescent="0.25">
      <c r="B10" s="15"/>
      <c r="C10" s="27">
        <f>D10-1</f>
        <v>-3</v>
      </c>
      <c r="D10" s="27">
        <f>E10-1</f>
        <v>-2</v>
      </c>
      <c r="E10" s="27">
        <f>F10-1</f>
        <v>-1</v>
      </c>
      <c r="F10" s="28">
        <f>DCF!C5</f>
        <v>0</v>
      </c>
      <c r="G10" s="29">
        <f>F10+1</f>
        <v>1</v>
      </c>
      <c r="H10" s="29">
        <f>G10+1</f>
        <v>2</v>
      </c>
      <c r="I10" s="29">
        <f>H10+1</f>
        <v>3</v>
      </c>
      <c r="J10" s="29">
        <f>I10+1</f>
        <v>4</v>
      </c>
      <c r="K10" s="30">
        <f>J10+1</f>
        <v>5</v>
      </c>
      <c r="L10" s="31" t="str">
        <f>C10&amp;"-"&amp;F10&amp;"A"</f>
        <v>-3-0A</v>
      </c>
      <c r="M10" s="31" t="str">
        <f>G10&amp;"-"&amp;K10&amp;"E"</f>
        <v>1-5E</v>
      </c>
    </row>
    <row r="11" spans="2:147" s="26" customFormat="1" ht="18" customHeight="1" x14ac:dyDescent="0.25">
      <c r="B11" s="32" t="s">
        <v>13</v>
      </c>
      <c r="C11" s="33"/>
      <c r="D11" s="33"/>
      <c r="E11" s="33"/>
      <c r="F11" s="34"/>
      <c r="G11" s="35" t="e">
        <f>F11*(1+G12)</f>
        <v>#DIV/0!</v>
      </c>
      <c r="H11" s="35" t="e">
        <f>G11*(1+H12)</f>
        <v>#DIV/0!</v>
      </c>
      <c r="I11" s="35" t="e">
        <f>H11*(1+I12)</f>
        <v>#DIV/0!</v>
      </c>
      <c r="J11" s="35" t="e">
        <f>I11*(1+J12)</f>
        <v>#DIV/0!</v>
      </c>
      <c r="K11" s="36" t="e">
        <f>J11*(1+K12)</f>
        <v>#DIV/0!</v>
      </c>
      <c r="L11" s="37" t="e">
        <f>(F11/C11)^(1/3)-1</f>
        <v>#DIV/0!</v>
      </c>
      <c r="M11" s="37" t="e">
        <f>(K11/G11)^(1/4)-1</f>
        <v>#DIV/0!</v>
      </c>
    </row>
    <row r="12" spans="2:147" s="26" customFormat="1" ht="18" customHeight="1" x14ac:dyDescent="0.25">
      <c r="B12" s="38" t="s">
        <v>14</v>
      </c>
      <c r="C12" s="39">
        <v>7.7700000000000005E-2</v>
      </c>
      <c r="D12" s="39" t="e">
        <f>(D11/C11)-1</f>
        <v>#DIV/0!</v>
      </c>
      <c r="E12" s="39" t="e">
        <f>(E11/D11)-1</f>
        <v>#DIV/0!</v>
      </c>
      <c r="F12" s="40" t="e">
        <f>(F11/E11)-1</f>
        <v>#DIV/0!</v>
      </c>
      <c r="G12" s="41" t="e">
        <f>AVERAGE(C12:F12)</f>
        <v>#DIV/0!</v>
      </c>
      <c r="H12" s="42" t="e">
        <f>G12-1%</f>
        <v>#DIV/0!</v>
      </c>
      <c r="I12" s="42" t="e">
        <f>H12-1%</f>
        <v>#DIV/0!</v>
      </c>
      <c r="J12" s="42" t="e">
        <f>I12-1%</f>
        <v>#DIV/0!</v>
      </c>
      <c r="K12" s="43" t="e">
        <f>J12-1%</f>
        <v>#DIV/0!</v>
      </c>
      <c r="L12" s="37"/>
      <c r="M12" s="37"/>
    </row>
    <row r="13" spans="2:147" s="26" customFormat="1" ht="18" customHeight="1" x14ac:dyDescent="0.25">
      <c r="B13" s="44" t="s">
        <v>15</v>
      </c>
      <c r="C13" s="45"/>
      <c r="D13" s="45"/>
      <c r="E13" s="45"/>
      <c r="F13" s="46"/>
      <c r="G13" s="47" t="e">
        <f>-(G11-G14)</f>
        <v>#DIV/0!</v>
      </c>
      <c r="H13" s="47" t="e">
        <f>-(H11-H14)</f>
        <v>#DIV/0!</v>
      </c>
      <c r="I13" s="47" t="e">
        <f>-(I11-I14)</f>
        <v>#DIV/0!</v>
      </c>
      <c r="J13" s="47" t="e">
        <f>-(J11-J14)</f>
        <v>#DIV/0!</v>
      </c>
      <c r="K13" s="48" t="e">
        <f>-(K11-K14)</f>
        <v>#DIV/0!</v>
      </c>
      <c r="L13" s="49" t="str">
        <f>IFERROR((F13/C13)^(1/3)-1,"N/A")</f>
        <v>N/A</v>
      </c>
      <c r="M13" s="49" t="str">
        <f>IFERROR((K13/G13)^(1/4)-1,"N/A")</f>
        <v>N/A</v>
      </c>
    </row>
    <row r="14" spans="2:147" s="26" customFormat="1" ht="18" customHeight="1" x14ac:dyDescent="0.25">
      <c r="B14" s="50" t="s">
        <v>16</v>
      </c>
      <c r="C14" s="51">
        <f>C11-C13</f>
        <v>0</v>
      </c>
      <c r="D14" s="51">
        <f>D11-D13</f>
        <v>0</v>
      </c>
      <c r="E14" s="51">
        <f>E11-E13</f>
        <v>0</v>
      </c>
      <c r="F14" s="51">
        <f>F11-F13</f>
        <v>0</v>
      </c>
      <c r="G14" s="52" t="e">
        <f>G15*G11</f>
        <v>#DIV/0!</v>
      </c>
      <c r="H14" s="52" t="e">
        <f>H15*H11</f>
        <v>#DIV/0!</v>
      </c>
      <c r="I14" s="52" t="e">
        <f>I15*I11</f>
        <v>#DIV/0!</v>
      </c>
      <c r="J14" s="52" t="e">
        <f>J15*J11</f>
        <v>#DIV/0!</v>
      </c>
      <c r="K14" s="53" t="e">
        <f>K15*K11</f>
        <v>#DIV/0!</v>
      </c>
      <c r="L14" s="54" t="str">
        <f>IFERROR((F14/C14)^(1/3)-1,"N/A")</f>
        <v>N/A</v>
      </c>
      <c r="M14" s="54" t="str">
        <f>IFERROR((K14/G14)^(1/4)-1,"N/A")</f>
        <v>N/A</v>
      </c>
    </row>
    <row r="15" spans="2:147" s="26" customFormat="1" ht="18" customHeight="1" x14ac:dyDescent="0.25">
      <c r="B15" s="55" t="s">
        <v>17</v>
      </c>
      <c r="C15" s="37" t="e">
        <f>C14/C11</f>
        <v>#DIV/0!</v>
      </c>
      <c r="D15" s="37" t="e">
        <f>D14/D11</f>
        <v>#DIV/0!</v>
      </c>
      <c r="E15" s="37" t="e">
        <f>E14/E11</f>
        <v>#DIV/0!</v>
      </c>
      <c r="F15" s="56" t="e">
        <f>F14/F11</f>
        <v>#DIV/0!</v>
      </c>
      <c r="G15" s="57" t="e">
        <f>AVERAGE(C15:F15)</f>
        <v>#DIV/0!</v>
      </c>
      <c r="H15" s="42" t="e">
        <f>G15</f>
        <v>#DIV/0!</v>
      </c>
      <c r="I15" s="42" t="e">
        <f>H15</f>
        <v>#DIV/0!</v>
      </c>
      <c r="J15" s="42" t="e">
        <f>I15</f>
        <v>#DIV/0!</v>
      </c>
      <c r="K15" s="43" t="e">
        <f>J15</f>
        <v>#DIV/0!</v>
      </c>
      <c r="L15" s="37"/>
      <c r="M15" s="37"/>
    </row>
    <row r="16" spans="2:147" s="26" customFormat="1" ht="18" customHeight="1" x14ac:dyDescent="0.25">
      <c r="B16" s="44" t="s">
        <v>18</v>
      </c>
      <c r="C16" s="33"/>
      <c r="D16" s="33"/>
      <c r="E16" s="33"/>
      <c r="F16" s="34"/>
      <c r="G16" s="35" t="e">
        <f>F16*(1+G17)</f>
        <v>#DIV/0!</v>
      </c>
      <c r="H16" s="35" t="e">
        <f>G16*(1+H17)</f>
        <v>#DIV/0!</v>
      </c>
      <c r="I16" s="35" t="e">
        <f>H16*(1+I17)</f>
        <v>#DIV/0!</v>
      </c>
      <c r="J16" s="35" t="e">
        <f>I16*(1+J17)</f>
        <v>#DIV/0!</v>
      </c>
      <c r="K16" s="36" t="e">
        <f>J16*(1+K17)</f>
        <v>#DIV/0!</v>
      </c>
      <c r="L16" s="49" t="str">
        <f>IFERROR((F16/C16)^(1/3)-1,"N/A")</f>
        <v>N/A</v>
      </c>
      <c r="M16" s="49" t="str">
        <f>IFERROR((K16/G16)^(1/4)-1,"N/A")</f>
        <v>N/A</v>
      </c>
    </row>
    <row r="17" spans="2:27" s="26" customFormat="1" ht="18" customHeight="1" x14ac:dyDescent="0.25">
      <c r="B17" s="55" t="s">
        <v>14</v>
      </c>
      <c r="C17" s="37"/>
      <c r="D17" s="37" t="e">
        <f>(D16/C16)-1</f>
        <v>#DIV/0!</v>
      </c>
      <c r="E17" s="37" t="e">
        <f>(E16/D16)-1</f>
        <v>#DIV/0!</v>
      </c>
      <c r="F17" s="56" t="e">
        <f>(F16/E16)-1</f>
        <v>#DIV/0!</v>
      </c>
      <c r="G17" s="57" t="e">
        <f>AVERAGE(D17:F17)</f>
        <v>#DIV/0!</v>
      </c>
      <c r="H17" s="57" t="e">
        <f>G17*0.95</f>
        <v>#DIV/0!</v>
      </c>
      <c r="I17" s="57" t="e">
        <f>H17*0.95</f>
        <v>#DIV/0!</v>
      </c>
      <c r="J17" s="57" t="e">
        <f>I17*0.95</f>
        <v>#DIV/0!</v>
      </c>
      <c r="K17" s="58" t="e">
        <f>J17*0.95</f>
        <v>#DIV/0!</v>
      </c>
      <c r="L17" s="37"/>
      <c r="M17" s="37"/>
    </row>
    <row r="18" spans="2:27" s="61" customFormat="1" ht="18" customHeight="1" x14ac:dyDescent="0.25">
      <c r="B18" s="38" t="s">
        <v>19</v>
      </c>
      <c r="C18" s="37" t="e">
        <f t="shared" ref="C18:K18" si="0">-C16/C11</f>
        <v>#DIV/0!</v>
      </c>
      <c r="D18" s="37" t="e">
        <f t="shared" si="0"/>
        <v>#DIV/0!</v>
      </c>
      <c r="E18" s="37" t="e">
        <f t="shared" si="0"/>
        <v>#DIV/0!</v>
      </c>
      <c r="F18" s="56" t="e">
        <f t="shared" si="0"/>
        <v>#DIV/0!</v>
      </c>
      <c r="G18" s="59" t="e">
        <f t="shared" si="0"/>
        <v>#DIV/0!</v>
      </c>
      <c r="H18" s="59" t="e">
        <f t="shared" si="0"/>
        <v>#DIV/0!</v>
      </c>
      <c r="I18" s="59" t="e">
        <f t="shared" si="0"/>
        <v>#DIV/0!</v>
      </c>
      <c r="J18" s="59" t="e">
        <f t="shared" si="0"/>
        <v>#DIV/0!</v>
      </c>
      <c r="K18" s="60" t="e">
        <f t="shared" si="0"/>
        <v>#DIV/0!</v>
      </c>
      <c r="L18" s="37"/>
      <c r="M18" s="37"/>
    </row>
    <row r="19" spans="2:27" s="26" customFormat="1" ht="18" customHeight="1" x14ac:dyDescent="0.25">
      <c r="B19" s="62" t="s">
        <v>20</v>
      </c>
      <c r="C19" s="63">
        <f t="shared" ref="C19:K19" si="1">C16+C13</f>
        <v>0</v>
      </c>
      <c r="D19" s="63">
        <f t="shared" si="1"/>
        <v>0</v>
      </c>
      <c r="E19" s="63">
        <f t="shared" si="1"/>
        <v>0</v>
      </c>
      <c r="F19" s="64">
        <f t="shared" si="1"/>
        <v>0</v>
      </c>
      <c r="G19" s="65" t="e">
        <f t="shared" si="1"/>
        <v>#DIV/0!</v>
      </c>
      <c r="H19" s="65" t="e">
        <f t="shared" si="1"/>
        <v>#DIV/0!</v>
      </c>
      <c r="I19" s="65" t="e">
        <f t="shared" si="1"/>
        <v>#DIV/0!</v>
      </c>
      <c r="J19" s="65" t="e">
        <f t="shared" si="1"/>
        <v>#DIV/0!</v>
      </c>
      <c r="K19" s="66" t="e">
        <f t="shared" si="1"/>
        <v>#DIV/0!</v>
      </c>
      <c r="L19" s="67" t="e">
        <f>(F19/C19)^(1/3)-1</f>
        <v>#DIV/0!</v>
      </c>
      <c r="M19" s="67" t="e">
        <f>(K19/G19)^(1/4)-1</f>
        <v>#DIV/0!</v>
      </c>
    </row>
    <row r="20" spans="2:27" s="26" customFormat="1" ht="18" customHeight="1" x14ac:dyDescent="0.25">
      <c r="B20" s="55" t="s">
        <v>14</v>
      </c>
      <c r="C20" s="37"/>
      <c r="D20" s="37" t="e">
        <f t="shared" ref="D20:K20" si="2">(D19/C19)-1</f>
        <v>#DIV/0!</v>
      </c>
      <c r="E20" s="37" t="e">
        <f t="shared" si="2"/>
        <v>#DIV/0!</v>
      </c>
      <c r="F20" s="56" t="e">
        <f t="shared" si="2"/>
        <v>#DIV/0!</v>
      </c>
      <c r="G20" s="59" t="e">
        <f t="shared" si="2"/>
        <v>#DIV/0!</v>
      </c>
      <c r="H20" s="59" t="e">
        <f t="shared" si="2"/>
        <v>#DIV/0!</v>
      </c>
      <c r="I20" s="59" t="e">
        <f t="shared" si="2"/>
        <v>#DIV/0!</v>
      </c>
      <c r="J20" s="59" t="e">
        <f t="shared" si="2"/>
        <v>#DIV/0!</v>
      </c>
      <c r="K20" s="60" t="e">
        <f t="shared" si="2"/>
        <v>#DIV/0!</v>
      </c>
      <c r="L20" s="37"/>
      <c r="M20" s="37"/>
    </row>
    <row r="21" spans="2:27" s="26" customFormat="1" ht="18" customHeight="1" x14ac:dyDescent="0.25">
      <c r="B21" s="62" t="s">
        <v>21</v>
      </c>
      <c r="C21" s="68"/>
      <c r="D21" s="68"/>
      <c r="E21" s="68"/>
      <c r="F21" s="69"/>
      <c r="G21" s="59"/>
      <c r="H21" s="59"/>
      <c r="I21" s="59"/>
      <c r="J21" s="59"/>
      <c r="K21" s="60"/>
      <c r="L21" s="37"/>
      <c r="M21" s="37"/>
    </row>
    <row r="22" spans="2:27" s="26" customFormat="1" ht="18" customHeight="1" x14ac:dyDescent="0.25">
      <c r="B22" s="62" t="s">
        <v>22</v>
      </c>
      <c r="C22" s="69"/>
      <c r="D22" s="69"/>
      <c r="E22" s="69"/>
      <c r="F22" s="69"/>
      <c r="G22" s="70" t="e">
        <f>G19+G11</f>
        <v>#DIV/0!</v>
      </c>
      <c r="H22" s="70" t="e">
        <f>H19+H11</f>
        <v>#DIV/0!</v>
      </c>
      <c r="I22" s="70" t="e">
        <f>I19+I11</f>
        <v>#DIV/0!</v>
      </c>
      <c r="J22" s="70" t="e">
        <f>J19+J11</f>
        <v>#DIV/0!</v>
      </c>
      <c r="K22" s="71" t="e">
        <f>K19+K11</f>
        <v>#DIV/0!</v>
      </c>
      <c r="L22" s="67" t="e">
        <f>(F22/C22)^(1/3)-1</f>
        <v>#DIV/0!</v>
      </c>
      <c r="M22" s="67" t="e">
        <f>(K22/G22)^(1/4)-1</f>
        <v>#DIV/0!</v>
      </c>
    </row>
    <row r="23" spans="2:27" s="26" customFormat="1" ht="18" customHeight="1" x14ac:dyDescent="0.25">
      <c r="B23" s="55" t="s">
        <v>17</v>
      </c>
      <c r="C23" s="37" t="e">
        <f t="shared" ref="C23:K23" si="3">C22/C11</f>
        <v>#DIV/0!</v>
      </c>
      <c r="D23" s="37" t="e">
        <f t="shared" si="3"/>
        <v>#DIV/0!</v>
      </c>
      <c r="E23" s="37" t="e">
        <f t="shared" si="3"/>
        <v>#DIV/0!</v>
      </c>
      <c r="F23" s="56" t="e">
        <f t="shared" si="3"/>
        <v>#DIV/0!</v>
      </c>
      <c r="G23" s="59" t="e">
        <f t="shared" si="3"/>
        <v>#DIV/0!</v>
      </c>
      <c r="H23" s="59" t="e">
        <f t="shared" si="3"/>
        <v>#DIV/0!</v>
      </c>
      <c r="I23" s="59" t="e">
        <f t="shared" si="3"/>
        <v>#DIV/0!</v>
      </c>
      <c r="J23" s="59" t="e">
        <f t="shared" si="3"/>
        <v>#DIV/0!</v>
      </c>
      <c r="K23" s="60" t="e">
        <f t="shared" si="3"/>
        <v>#DIV/0!</v>
      </c>
      <c r="L23" s="37"/>
      <c r="M23" s="37"/>
    </row>
    <row r="24" spans="2:27" s="26" customFormat="1" ht="18" customHeight="1" x14ac:dyDescent="0.25">
      <c r="B24" s="32" t="s">
        <v>23</v>
      </c>
      <c r="C24" s="33">
        <v>12441000000</v>
      </c>
      <c r="D24" s="33">
        <v>13475000000</v>
      </c>
      <c r="E24" s="33">
        <v>469000000</v>
      </c>
      <c r="F24" s="34">
        <v>413000000</v>
      </c>
      <c r="G24" s="72" t="e">
        <f>-G11*G25</f>
        <v>#DIV/0!</v>
      </c>
      <c r="H24" s="72" t="e">
        <f>-H11*H25</f>
        <v>#DIV/0!</v>
      </c>
      <c r="I24" s="72" t="e">
        <f>-I11*I25</f>
        <v>#DIV/0!</v>
      </c>
      <c r="J24" s="72" t="e">
        <f>-J11*J25</f>
        <v>#DIV/0!</v>
      </c>
      <c r="K24" s="73" t="e">
        <f>-K11*K25</f>
        <v>#DIV/0!</v>
      </c>
      <c r="L24" s="49">
        <f>IFERROR((F24/C24)^(1/3)-1,"N/A")</f>
        <v>-0.67861057162747129</v>
      </c>
      <c r="M24" s="49" t="str">
        <f>IFERROR((K24/G24)^(1/4)-1,"N/A")</f>
        <v>N/A</v>
      </c>
    </row>
    <row r="25" spans="2:27" s="61" customFormat="1" ht="18" customHeight="1" x14ac:dyDescent="0.25">
      <c r="B25" s="38" t="s">
        <v>19</v>
      </c>
      <c r="C25" s="37" t="e">
        <f>-(C24/C11)</f>
        <v>#DIV/0!</v>
      </c>
      <c r="D25" s="37" t="e">
        <f>-(D24/D11)</f>
        <v>#DIV/0!</v>
      </c>
      <c r="E25" s="37" t="e">
        <f>-(E24/E11)</f>
        <v>#DIV/0!</v>
      </c>
      <c r="F25" s="56" t="e">
        <f>-(F24/F11)</f>
        <v>#DIV/0!</v>
      </c>
      <c r="G25" s="57" t="e">
        <f>AVERAGE(C25:F25)</f>
        <v>#DIV/0!</v>
      </c>
      <c r="H25" s="57" t="e">
        <f>G25</f>
        <v>#DIV/0!</v>
      </c>
      <c r="I25" s="57" t="e">
        <f>H25</f>
        <v>#DIV/0!</v>
      </c>
      <c r="J25" s="57" t="e">
        <f>I25</f>
        <v>#DIV/0!</v>
      </c>
      <c r="K25" s="58" t="e">
        <f>J25</f>
        <v>#DIV/0!</v>
      </c>
      <c r="L25" s="37"/>
      <c r="M25" s="37"/>
    </row>
    <row r="26" spans="2:27" ht="14.95" customHeight="1" x14ac:dyDescent="0.25">
      <c r="D26" s="16"/>
      <c r="L26" s="15"/>
      <c r="M26" s="17"/>
    </row>
    <row r="27" spans="2:27" s="5" customFormat="1" ht="25.15" customHeight="1" outlineLevel="1" x14ac:dyDescent="0.25">
      <c r="B27" s="74" t="s">
        <v>24</v>
      </c>
      <c r="C27" s="7"/>
      <c r="D27" s="7"/>
      <c r="E27" s="7"/>
      <c r="F27" s="7"/>
      <c r="G27" s="7"/>
      <c r="H27" s="7"/>
      <c r="I27" s="7"/>
      <c r="J27" s="11"/>
      <c r="K27" s="11"/>
      <c r="L27" s="11"/>
      <c r="M27" s="11"/>
      <c r="N27" s="11"/>
      <c r="O27" s="11"/>
      <c r="P27" s="11"/>
      <c r="Q27" s="11"/>
      <c r="R27" s="11"/>
      <c r="S27" s="11"/>
      <c r="T27" s="11"/>
      <c r="U27" s="11"/>
      <c r="V27" s="11"/>
      <c r="W27" s="11"/>
      <c r="X27" s="11"/>
      <c r="Y27" s="11"/>
      <c r="Z27" s="11"/>
      <c r="AA27" s="11"/>
    </row>
    <row r="28" spans="2:27" s="5" customFormat="1" ht="25.15" customHeight="1" outlineLevel="1" x14ac:dyDescent="0.25">
      <c r="B28" s="75" t="s">
        <v>25</v>
      </c>
      <c r="C28" s="7"/>
      <c r="D28" s="7"/>
      <c r="E28" s="7"/>
      <c r="F28" s="7"/>
      <c r="G28" s="7"/>
      <c r="H28" s="7"/>
      <c r="I28" s="7"/>
      <c r="J28" s="11"/>
      <c r="K28" s="11"/>
      <c r="L28" s="11"/>
      <c r="M28" s="11"/>
      <c r="N28" s="11"/>
      <c r="O28" s="11"/>
      <c r="P28" s="11"/>
      <c r="Q28" s="11"/>
      <c r="R28" s="11"/>
      <c r="S28" s="11"/>
      <c r="T28" s="11"/>
      <c r="U28" s="11"/>
      <c r="V28" s="11"/>
      <c r="W28" s="11"/>
      <c r="X28" s="11"/>
      <c r="Y28" s="11"/>
      <c r="Z28" s="11"/>
      <c r="AA28" s="11"/>
    </row>
    <row r="29" spans="2:27" s="5" customFormat="1" ht="18" customHeight="1" outlineLevel="1" x14ac:dyDescent="0.25">
      <c r="B29" s="76"/>
      <c r="C29" s="7"/>
      <c r="D29" s="7"/>
      <c r="E29" s="7"/>
      <c r="F29" s="7"/>
      <c r="G29" s="7"/>
      <c r="H29" s="7"/>
      <c r="I29" s="7"/>
      <c r="J29" s="11"/>
      <c r="K29" s="11"/>
      <c r="L29" s="224"/>
      <c r="M29" s="221"/>
      <c r="N29" s="221"/>
      <c r="O29" s="221"/>
      <c r="P29" s="11"/>
      <c r="Q29" s="224"/>
      <c r="R29" s="221"/>
      <c r="S29" s="221"/>
      <c r="T29" s="221"/>
      <c r="U29" s="11"/>
      <c r="V29" s="224"/>
      <c r="W29" s="221"/>
      <c r="X29" s="221"/>
      <c r="Y29" s="221"/>
      <c r="Z29" s="11"/>
      <c r="AA29" s="11"/>
    </row>
    <row r="30" spans="2:27" s="79" customFormat="1" ht="45" customHeight="1" outlineLevel="1" x14ac:dyDescent="0.25">
      <c r="B30" s="77" t="s">
        <v>26</v>
      </c>
      <c r="C30" s="78" t="s">
        <v>27</v>
      </c>
      <c r="D30" s="78" t="s">
        <v>28</v>
      </c>
      <c r="E30" s="78" t="s">
        <v>29</v>
      </c>
      <c r="F30" s="78" t="s">
        <v>30</v>
      </c>
      <c r="G30" s="78" t="s">
        <v>31</v>
      </c>
      <c r="H30" s="78" t="s">
        <v>32</v>
      </c>
      <c r="I30" s="78" t="s">
        <v>33</v>
      </c>
      <c r="J30" s="11"/>
      <c r="K30" s="11"/>
      <c r="L30" s="11"/>
      <c r="M30" s="11"/>
      <c r="N30" s="11"/>
      <c r="O30" s="11"/>
      <c r="P30" s="11"/>
      <c r="Q30" s="11"/>
      <c r="R30" s="11"/>
      <c r="S30" s="11"/>
      <c r="T30" s="11"/>
      <c r="U30" s="11"/>
      <c r="V30" s="11"/>
      <c r="W30" s="11"/>
      <c r="X30" s="11"/>
      <c r="Y30" s="11"/>
      <c r="Z30" s="11"/>
      <c r="AA30" s="11"/>
    </row>
    <row r="31" spans="2:27" s="79" customFormat="1" ht="18" customHeight="1" outlineLevel="1" x14ac:dyDescent="0.25">
      <c r="B31" s="80"/>
      <c r="C31" s="81"/>
      <c r="D31" s="82"/>
      <c r="E31" s="82"/>
      <c r="F31" s="83" t="e">
        <f>D31/E31</f>
        <v>#DIV/0!</v>
      </c>
      <c r="G31" s="83" t="e">
        <f>E31/(D31+E31)</f>
        <v>#DIV/0!</v>
      </c>
      <c r="H31" s="84"/>
      <c r="I31" s="85" t="e">
        <f>C31/(1+(F31)*(1-H31))</f>
        <v>#DIV/0!</v>
      </c>
      <c r="J31" s="11"/>
      <c r="K31" s="11"/>
      <c r="L31" s="11"/>
      <c r="M31" s="11"/>
      <c r="N31" s="11"/>
      <c r="O31" s="11"/>
      <c r="P31" s="11"/>
      <c r="Q31" s="11"/>
      <c r="R31" s="11"/>
      <c r="S31" s="11"/>
      <c r="T31" s="11"/>
      <c r="U31" s="11"/>
      <c r="V31" s="11"/>
      <c r="W31" s="11"/>
      <c r="X31" s="11"/>
      <c r="Y31" s="11"/>
      <c r="Z31" s="11"/>
      <c r="AA31" s="11"/>
    </row>
    <row r="32" spans="2:27" s="79" customFormat="1" ht="18" customHeight="1" outlineLevel="1" x14ac:dyDescent="0.25">
      <c r="B32" s="86"/>
      <c r="C32" s="81"/>
      <c r="D32" s="82"/>
      <c r="E32" s="82"/>
      <c r="F32" s="83" t="e">
        <f>D32/E32</f>
        <v>#DIV/0!</v>
      </c>
      <c r="G32" s="83" t="e">
        <f>E32/(D32+E32)</f>
        <v>#DIV/0!</v>
      </c>
      <c r="H32" s="84"/>
      <c r="I32" s="85" t="e">
        <f>C32/(1+(F32)*(1-H32))</f>
        <v>#DIV/0!</v>
      </c>
      <c r="J32" s="11"/>
      <c r="K32" s="11"/>
      <c r="L32" s="11"/>
      <c r="M32" s="11"/>
      <c r="N32" s="11"/>
      <c r="O32" s="11"/>
      <c r="P32" s="11"/>
      <c r="Q32" s="11"/>
      <c r="R32" s="11"/>
      <c r="S32" s="11"/>
      <c r="T32" s="11"/>
      <c r="U32" s="11"/>
      <c r="V32" s="11"/>
      <c r="W32" s="11"/>
      <c r="X32" s="11"/>
      <c r="Y32" s="11"/>
      <c r="Z32" s="11"/>
      <c r="AA32" s="11"/>
    </row>
    <row r="33" spans="2:27" s="79" customFormat="1" ht="18" customHeight="1" outlineLevel="1" x14ac:dyDescent="0.25">
      <c r="B33" s="86"/>
      <c r="C33" s="81"/>
      <c r="D33" s="82"/>
      <c r="E33" s="82"/>
      <c r="F33" s="83" t="e">
        <f>D33/E33</f>
        <v>#DIV/0!</v>
      </c>
      <c r="G33" s="83" t="e">
        <f>E33/(D33+E33)</f>
        <v>#DIV/0!</v>
      </c>
      <c r="H33" s="84"/>
      <c r="I33" s="85" t="e">
        <f>C33/(1+(F33)*(1-H33))</f>
        <v>#DIV/0!</v>
      </c>
      <c r="J33" s="11"/>
      <c r="K33" s="11"/>
      <c r="L33" s="11"/>
      <c r="M33" s="11"/>
      <c r="N33" s="11"/>
      <c r="O33" s="11"/>
      <c r="P33" s="11"/>
      <c r="Q33" s="11"/>
      <c r="R33" s="11"/>
      <c r="S33" s="11"/>
      <c r="T33" s="11"/>
      <c r="U33" s="11"/>
      <c r="V33" s="11"/>
      <c r="W33" s="11"/>
      <c r="X33" s="11"/>
      <c r="Y33" s="11"/>
      <c r="Z33" s="11"/>
      <c r="AA33" s="11"/>
    </row>
    <row r="34" spans="2:27" s="79" customFormat="1" ht="18" customHeight="1" outlineLevel="1" x14ac:dyDescent="0.25">
      <c r="B34" s="86"/>
      <c r="C34" s="81"/>
      <c r="D34" s="82"/>
      <c r="E34" s="82"/>
      <c r="F34" s="83" t="e">
        <f>D34/E34</f>
        <v>#DIV/0!</v>
      </c>
      <c r="G34" s="83" t="e">
        <f>E34/(D34+E34)</f>
        <v>#DIV/0!</v>
      </c>
      <c r="H34" s="84"/>
      <c r="I34" s="85" t="e">
        <f>C34/(1+(F34)*(1-H34))</f>
        <v>#DIV/0!</v>
      </c>
      <c r="J34" s="11"/>
      <c r="K34" s="11"/>
      <c r="L34" s="11"/>
      <c r="M34" s="11"/>
      <c r="N34" s="11"/>
      <c r="O34" s="11"/>
      <c r="P34" s="11"/>
      <c r="Q34" s="11"/>
      <c r="R34" s="11"/>
      <c r="S34" s="11"/>
      <c r="T34" s="11"/>
      <c r="U34" s="11"/>
      <c r="V34" s="11"/>
      <c r="W34" s="11"/>
      <c r="X34" s="11"/>
      <c r="Y34" s="11"/>
      <c r="Z34" s="11"/>
      <c r="AA34" s="11"/>
    </row>
    <row r="35" spans="2:27" s="79" customFormat="1" ht="18" customHeight="1" outlineLevel="1" x14ac:dyDescent="0.25">
      <c r="B35" s="87"/>
      <c r="C35" s="81"/>
      <c r="D35" s="82"/>
      <c r="E35" s="82"/>
      <c r="F35" s="83" t="e">
        <f>D35/E35</f>
        <v>#DIV/0!</v>
      </c>
      <c r="G35" s="83" t="e">
        <f>E35/(D35+E35)</f>
        <v>#DIV/0!</v>
      </c>
      <c r="H35" s="84"/>
      <c r="I35" s="85" t="e">
        <f>C35/(1+(F35)*(1-H35))</f>
        <v>#DIV/0!</v>
      </c>
      <c r="J35" s="11"/>
      <c r="K35" s="11"/>
      <c r="L35" s="11"/>
      <c r="M35" s="11"/>
      <c r="N35" s="11"/>
      <c r="O35" s="11"/>
      <c r="P35" s="11"/>
      <c r="Q35" s="11"/>
      <c r="R35" s="11"/>
      <c r="S35" s="11"/>
      <c r="T35" s="11"/>
      <c r="U35" s="11"/>
      <c r="V35" s="11"/>
      <c r="W35" s="11"/>
      <c r="X35" s="11"/>
      <c r="Y35" s="11"/>
      <c r="Z35" s="11"/>
      <c r="AA35" s="11"/>
    </row>
    <row r="36" spans="2:27" s="79" customFormat="1" ht="18" customHeight="1" outlineLevel="1" x14ac:dyDescent="0.25">
      <c r="B36" s="88" t="s">
        <v>36</v>
      </c>
      <c r="C36" s="89" t="e">
        <f>MEDIAN(C31:C35)</f>
        <v>#NUM!</v>
      </c>
      <c r="D36" s="89"/>
      <c r="E36" s="89"/>
      <c r="F36" s="90" t="e">
        <f>MEDIAN(F31:F35)</f>
        <v>#DIV/0!</v>
      </c>
      <c r="G36" s="90" t="e">
        <f>MEDIAN(G31:G35)</f>
        <v>#DIV/0!</v>
      </c>
      <c r="H36" s="91"/>
      <c r="I36" s="89" t="e">
        <f>MEDIAN(I31:I35)</f>
        <v>#DIV/0!</v>
      </c>
      <c r="J36" s="11"/>
      <c r="K36" s="11"/>
      <c r="L36" s="11"/>
      <c r="M36" s="11"/>
      <c r="N36" s="11"/>
      <c r="O36" s="11"/>
      <c r="P36" s="11"/>
      <c r="Q36" s="11"/>
      <c r="R36" s="11"/>
      <c r="S36" s="11"/>
      <c r="T36" s="11"/>
      <c r="U36" s="11"/>
      <c r="V36" s="11"/>
      <c r="W36" s="11"/>
      <c r="X36" s="11"/>
      <c r="Y36" s="11"/>
      <c r="Z36" s="11"/>
      <c r="AA36" s="11"/>
    </row>
    <row r="37" spans="2:27" s="79" customFormat="1" ht="18" customHeight="1" outlineLevel="1" x14ac:dyDescent="0.25">
      <c r="B37" s="92" t="s">
        <v>37</v>
      </c>
      <c r="C37" s="93" t="e">
        <f>AVERAGE(C31:C35)</f>
        <v>#DIV/0!</v>
      </c>
      <c r="D37" s="93"/>
      <c r="E37" s="93"/>
      <c r="F37" s="94" t="e">
        <f>AVERAGE(F31:F35)</f>
        <v>#DIV/0!</v>
      </c>
      <c r="G37" s="94" t="e">
        <f>AVERAGE(G31:G35)</f>
        <v>#DIV/0!</v>
      </c>
      <c r="H37" s="95"/>
      <c r="I37" s="93" t="e">
        <f>AVERAGE(I31:I35)</f>
        <v>#DIV/0!</v>
      </c>
      <c r="J37" s="11"/>
      <c r="K37" s="11"/>
      <c r="L37" s="11"/>
      <c r="M37" s="11"/>
      <c r="N37" s="11"/>
      <c r="O37" s="11"/>
      <c r="P37" s="11"/>
      <c r="Q37" s="11"/>
      <c r="R37" s="11"/>
      <c r="S37" s="11"/>
      <c r="T37" s="11"/>
      <c r="U37" s="11"/>
      <c r="V37" s="11"/>
      <c r="W37" s="11"/>
      <c r="X37" s="11"/>
      <c r="Y37" s="11"/>
      <c r="Z37" s="11"/>
      <c r="AA37" s="11"/>
    </row>
    <row r="38" spans="2:27" s="79" customFormat="1" ht="18" customHeight="1" outlineLevel="1" x14ac:dyDescent="0.25">
      <c r="B38" s="96" t="s">
        <v>38</v>
      </c>
      <c r="C38" s="97"/>
      <c r="D38" s="97"/>
      <c r="E38" s="97"/>
      <c r="F38" s="97"/>
      <c r="G38" s="97"/>
      <c r="H38" s="97"/>
      <c r="I38" s="97"/>
      <c r="J38" s="11"/>
      <c r="K38" s="11"/>
      <c r="L38" s="11"/>
      <c r="M38" s="11"/>
      <c r="N38" s="11"/>
      <c r="O38" s="11"/>
      <c r="P38" s="11"/>
      <c r="Q38" s="11"/>
      <c r="R38" s="11"/>
      <c r="S38" s="11"/>
      <c r="T38" s="11"/>
      <c r="U38" s="11"/>
      <c r="V38" s="11"/>
      <c r="W38" s="11"/>
      <c r="X38" s="11"/>
      <c r="Y38" s="11"/>
      <c r="Z38" s="11"/>
      <c r="AA38" s="11"/>
    </row>
    <row r="39" spans="2:27" s="79" customFormat="1" ht="18" customHeight="1" outlineLevel="1" x14ac:dyDescent="0.25">
      <c r="B39" s="96" t="s">
        <v>39</v>
      </c>
      <c r="C39" s="97"/>
      <c r="D39" s="97"/>
      <c r="E39" s="97"/>
      <c r="F39" s="97"/>
      <c r="G39" s="97"/>
      <c r="H39" s="97"/>
      <c r="I39" s="97"/>
      <c r="J39" s="11"/>
      <c r="K39" s="11"/>
      <c r="L39" s="11"/>
      <c r="M39" s="11"/>
      <c r="N39" s="11"/>
      <c r="O39" s="11"/>
      <c r="P39" s="11"/>
      <c r="Q39" s="11"/>
      <c r="R39" s="11"/>
      <c r="S39" s="11"/>
      <c r="T39" s="11"/>
      <c r="U39" s="11"/>
      <c r="V39" s="11"/>
      <c r="W39" s="11"/>
      <c r="X39" s="11"/>
      <c r="Y39" s="11"/>
      <c r="Z39" s="11"/>
      <c r="AA39" s="11"/>
    </row>
    <row r="40" spans="2:27" s="79" customFormat="1" ht="18" customHeight="1" outlineLevel="1" x14ac:dyDescent="0.25">
      <c r="B40" s="96" t="s">
        <v>40</v>
      </c>
      <c r="C40" s="97"/>
      <c r="D40" s="97"/>
      <c r="E40" s="97"/>
      <c r="F40" s="97"/>
      <c r="G40" s="97"/>
      <c r="H40" s="97"/>
      <c r="I40" s="97"/>
      <c r="L40" s="97"/>
      <c r="M40" s="97"/>
      <c r="N40" s="97"/>
      <c r="O40" s="97"/>
      <c r="P40" s="97"/>
      <c r="Q40" s="97"/>
      <c r="R40" s="97"/>
    </row>
    <row r="41" spans="2:27" s="79" customFormat="1" ht="18" customHeight="1" outlineLevel="1" x14ac:dyDescent="0.25">
      <c r="B41" s="96" t="s">
        <v>41</v>
      </c>
      <c r="C41" s="97"/>
      <c r="D41" s="97"/>
      <c r="E41" s="97"/>
      <c r="F41" s="97"/>
      <c r="G41" s="97"/>
      <c r="H41" s="97"/>
      <c r="I41" s="97"/>
      <c r="L41" s="97"/>
      <c r="M41" s="97"/>
      <c r="N41" s="97"/>
      <c r="O41" s="97"/>
      <c r="P41" s="97"/>
      <c r="Q41" s="97"/>
      <c r="R41" s="97"/>
    </row>
    <row r="42" spans="2:27" s="79" customFormat="1" ht="45" customHeight="1" outlineLevel="1" x14ac:dyDescent="0.25">
      <c r="B42" s="98" t="s">
        <v>42</v>
      </c>
      <c r="C42" s="99"/>
      <c r="D42" s="100" t="s">
        <v>43</v>
      </c>
      <c r="E42" s="100" t="s">
        <v>44</v>
      </c>
      <c r="F42" s="100" t="s">
        <v>45</v>
      </c>
      <c r="G42" s="101" t="s">
        <v>42</v>
      </c>
      <c r="H42" s="102"/>
      <c r="I42" s="97"/>
      <c r="L42" s="103"/>
      <c r="M42" s="104"/>
      <c r="N42" s="104"/>
      <c r="O42" s="104"/>
      <c r="P42" s="104"/>
      <c r="Q42" s="102"/>
      <c r="R42" s="97"/>
    </row>
    <row r="43" spans="2:27" s="79" customFormat="1" ht="18" customHeight="1" outlineLevel="1" x14ac:dyDescent="0.25">
      <c r="B43" s="105" t="s">
        <v>46</v>
      </c>
      <c r="C43" s="106"/>
      <c r="D43" s="107" t="e">
        <f>I37</f>
        <v>#DIV/0!</v>
      </c>
      <c r="E43" s="108" t="e">
        <f>F37</f>
        <v>#DIV/0!</v>
      </c>
      <c r="F43" s="109">
        <f>DCF!C6</f>
        <v>0</v>
      </c>
      <c r="G43" s="110" t="e">
        <f>D43*(1+(E43)*(1-F43))</f>
        <v>#DIV/0!</v>
      </c>
      <c r="H43" s="97"/>
      <c r="I43" s="97"/>
      <c r="P43" s="111"/>
      <c r="Q43" s="97"/>
      <c r="R43" s="97"/>
    </row>
    <row r="44" spans="2:27" ht="14.95" customHeight="1" x14ac:dyDescent="0.25">
      <c r="C44" s="112"/>
      <c r="D44" s="113"/>
      <c r="E44" s="113"/>
      <c r="F44" s="113"/>
    </row>
    <row r="45" spans="2:27" s="5" customFormat="1" ht="25.15" customHeight="1" outlineLevel="1" x14ac:dyDescent="0.25">
      <c r="B45" s="74" t="s">
        <v>47</v>
      </c>
      <c r="C45" s="7"/>
      <c r="D45" s="7"/>
      <c r="E45" s="7"/>
      <c r="F45" s="7"/>
      <c r="G45" s="7"/>
      <c r="H45" s="7"/>
      <c r="I45" s="7"/>
    </row>
    <row r="46" spans="2:27" s="5" customFormat="1" ht="18" customHeight="1" outlineLevel="1" x14ac:dyDescent="0.25">
      <c r="B46" s="76" t="s">
        <v>48</v>
      </c>
      <c r="C46" s="7"/>
      <c r="D46" s="7"/>
      <c r="E46" s="7"/>
      <c r="F46" s="7"/>
      <c r="G46" s="7"/>
      <c r="H46" s="7"/>
      <c r="I46" s="7"/>
    </row>
    <row r="47" spans="2:27" s="117" customFormat="1" ht="18" customHeight="1" outlineLevel="1" x14ac:dyDescent="0.25">
      <c r="B47" s="115" t="s">
        <v>49</v>
      </c>
      <c r="C47" s="116"/>
      <c r="D47" s="11"/>
      <c r="E47" s="11"/>
      <c r="F47" s="11"/>
      <c r="G47" s="11"/>
      <c r="H47" s="11"/>
      <c r="I47" s="11"/>
      <c r="J47" s="17"/>
    </row>
    <row r="48" spans="2:27" s="117" customFormat="1" ht="18" customHeight="1" outlineLevel="1" x14ac:dyDescent="0.25">
      <c r="B48" s="118" t="s">
        <v>50</v>
      </c>
      <c r="C48" s="119" t="e">
        <f>1-C49</f>
        <v>#DIV/0!</v>
      </c>
      <c r="D48" s="11"/>
      <c r="E48" s="11"/>
      <c r="F48" s="11"/>
      <c r="G48" s="11"/>
      <c r="H48" s="11"/>
      <c r="I48" s="11"/>
      <c r="J48" s="17"/>
    </row>
    <row r="49" spans="2:13" s="117" customFormat="1" ht="18" customHeight="1" outlineLevel="1" x14ac:dyDescent="0.25">
      <c r="B49" s="118" t="s">
        <v>51</v>
      </c>
      <c r="C49" s="119" t="e">
        <f>DCF!G37</f>
        <v>#DIV/0!</v>
      </c>
      <c r="D49" s="11"/>
      <c r="E49" s="11"/>
      <c r="F49" s="11"/>
      <c r="G49" s="11"/>
      <c r="H49" s="11"/>
      <c r="I49" s="11"/>
      <c r="J49" s="17"/>
    </row>
    <row r="50" spans="2:13" s="117" customFormat="1" ht="18" customHeight="1" outlineLevel="1" x14ac:dyDescent="0.25">
      <c r="B50" s="118" t="s">
        <v>52</v>
      </c>
      <c r="C50" s="119" t="e">
        <f>DCF!F37</f>
        <v>#DIV/0!</v>
      </c>
      <c r="D50" s="11"/>
      <c r="E50" s="11"/>
      <c r="F50" s="11"/>
      <c r="G50" s="11"/>
      <c r="H50" s="11"/>
      <c r="I50" s="11"/>
      <c r="J50" s="17"/>
    </row>
    <row r="51" spans="2:13" s="117" customFormat="1" ht="18" customHeight="1" outlineLevel="1" x14ac:dyDescent="0.25">
      <c r="B51" s="115" t="s">
        <v>53</v>
      </c>
      <c r="C51" s="120"/>
      <c r="D51" s="11"/>
      <c r="E51" s="11"/>
      <c r="F51" s="11"/>
      <c r="G51" s="11"/>
      <c r="H51" s="11"/>
      <c r="I51" s="11"/>
      <c r="J51" s="17"/>
    </row>
    <row r="52" spans="2:13" s="117" customFormat="1" ht="18" customHeight="1" outlineLevel="1" x14ac:dyDescent="0.25">
      <c r="B52" s="118" t="s">
        <v>54</v>
      </c>
      <c r="C52" s="121">
        <f t="array" aca="1" ref="C52" ca="1">_FV(F4,"Yield yesterday",TRUE)</f>
        <v>4.1570000000000003E-2</v>
      </c>
      <c r="D52" s="11"/>
      <c r="E52" s="11"/>
      <c r="F52" s="11"/>
      <c r="G52" s="11"/>
      <c r="H52" s="11"/>
      <c r="I52" s="11"/>
      <c r="J52" s="17"/>
    </row>
    <row r="53" spans="2:13" s="117" customFormat="1" ht="18" customHeight="1" outlineLevel="1" x14ac:dyDescent="0.25">
      <c r="B53" s="118" t="s">
        <v>55</v>
      </c>
      <c r="C53" s="121">
        <f>F5</f>
        <v>0.05</v>
      </c>
      <c r="D53" s="11"/>
      <c r="E53" s="11"/>
      <c r="F53" s="11"/>
      <c r="G53" s="11"/>
      <c r="H53" s="11"/>
      <c r="I53" s="11"/>
      <c r="J53" s="17"/>
    </row>
    <row r="54" spans="2:13" s="117" customFormat="1" ht="18" customHeight="1" outlineLevel="1" x14ac:dyDescent="0.25">
      <c r="B54" s="118" t="s">
        <v>56</v>
      </c>
      <c r="C54" s="122" t="e">
        <f>DCF!G43</f>
        <v>#DIV/0!</v>
      </c>
      <c r="D54" s="11"/>
      <c r="E54" s="11"/>
      <c r="F54" s="11"/>
      <c r="G54" s="11"/>
      <c r="H54" s="11"/>
      <c r="I54" s="11"/>
      <c r="J54" s="17"/>
    </row>
    <row r="55" spans="2:13" s="117" customFormat="1" ht="18" customHeight="1" outlineLevel="1" x14ac:dyDescent="0.25">
      <c r="B55" s="123" t="s">
        <v>57</v>
      </c>
      <c r="C55" s="124">
        <v>0</v>
      </c>
      <c r="D55" s="11"/>
      <c r="E55" s="11"/>
      <c r="F55" s="11"/>
      <c r="G55" s="11"/>
      <c r="H55" s="11"/>
      <c r="I55" s="11"/>
      <c r="J55" s="17"/>
    </row>
    <row r="56" spans="2:13" s="117" customFormat="1" ht="18" customHeight="1" outlineLevel="1" x14ac:dyDescent="0.25">
      <c r="B56" s="125" t="s">
        <v>53</v>
      </c>
      <c r="C56" s="126" t="e">
        <f ca="1">C52+(C54*C53)+C55</f>
        <v>#DIV/0!</v>
      </c>
      <c r="D56" s="11"/>
      <c r="E56" s="11"/>
      <c r="F56" s="11"/>
      <c r="G56" s="11"/>
      <c r="H56" s="11"/>
      <c r="I56" s="11"/>
      <c r="J56" s="17"/>
    </row>
    <row r="57" spans="2:13" s="117" customFormat="1" ht="18" customHeight="1" outlineLevel="1" x14ac:dyDescent="0.25">
      <c r="B57" s="127" t="s">
        <v>58</v>
      </c>
      <c r="C57" s="128"/>
      <c r="D57" s="11"/>
      <c r="E57" s="11"/>
      <c r="F57" s="11"/>
      <c r="G57" s="11"/>
      <c r="H57" s="11"/>
      <c r="I57" s="11"/>
      <c r="J57" s="17"/>
    </row>
    <row r="58" spans="2:13" s="117" customFormat="1" ht="18" customHeight="1" outlineLevel="1" x14ac:dyDescent="0.25">
      <c r="B58" s="129" t="s">
        <v>59</v>
      </c>
      <c r="C58" s="130"/>
      <c r="D58" s="11"/>
      <c r="E58" s="11"/>
      <c r="F58" s="11"/>
      <c r="G58" s="11"/>
      <c r="H58" s="11"/>
      <c r="I58" s="11"/>
      <c r="J58" s="17"/>
    </row>
    <row r="59" spans="2:13" s="117" customFormat="1" ht="18" customHeight="1" outlineLevel="1" x14ac:dyDescent="0.25">
      <c r="B59" s="131" t="s">
        <v>60</v>
      </c>
      <c r="C59" s="132">
        <f>DCF!C6</f>
        <v>0</v>
      </c>
      <c r="D59" s="11"/>
      <c r="E59" s="11"/>
      <c r="F59" s="11"/>
      <c r="G59" s="11"/>
      <c r="H59" s="11"/>
      <c r="I59" s="11"/>
      <c r="J59" s="17"/>
    </row>
    <row r="60" spans="2:13" s="117" customFormat="1" ht="18" customHeight="1" outlineLevel="1" x14ac:dyDescent="0.25">
      <c r="B60" s="125" t="s">
        <v>61</v>
      </c>
      <c r="C60" s="133">
        <f>C58*(1-C59)</f>
        <v>0</v>
      </c>
      <c r="D60" s="11"/>
      <c r="E60" s="11"/>
      <c r="F60" s="11"/>
      <c r="G60" s="11"/>
      <c r="H60" s="11"/>
      <c r="I60" s="11"/>
      <c r="J60" s="17"/>
    </row>
    <row r="61" spans="2:13" s="117" customFormat="1" ht="18" customHeight="1" outlineLevel="1" thickBot="1" x14ac:dyDescent="0.3">
      <c r="B61" s="134" t="s">
        <v>62</v>
      </c>
      <c r="C61" s="135" t="e">
        <f ca="1">(C60*C48)+(C56*C49)</f>
        <v>#DIV/0!</v>
      </c>
      <c r="D61" s="11"/>
      <c r="E61" s="11"/>
      <c r="F61" s="11"/>
      <c r="G61" s="11"/>
      <c r="H61" s="11"/>
      <c r="I61" s="11"/>
      <c r="J61" s="17"/>
    </row>
    <row r="62" spans="2:13" s="26" customFormat="1" ht="12.1" customHeight="1" outlineLevel="1" thickTop="1" x14ac:dyDescent="0.25">
      <c r="B62" s="136"/>
      <c r="C62" s="137"/>
      <c r="D62" s="137"/>
      <c r="E62" s="137"/>
      <c r="F62" s="137"/>
      <c r="G62" s="138"/>
      <c r="H62" s="138"/>
      <c r="I62" s="138"/>
      <c r="J62" s="138"/>
      <c r="K62" s="138"/>
      <c r="L62" s="137"/>
      <c r="M62" s="137"/>
    </row>
    <row r="63" spans="2:13" s="5" customFormat="1" ht="25.15" customHeight="1" outlineLevel="1" x14ac:dyDescent="0.25">
      <c r="B63" s="139"/>
      <c r="C63" s="7"/>
      <c r="D63" s="7"/>
      <c r="E63" s="7"/>
      <c r="F63" s="7"/>
      <c r="G63" s="7"/>
      <c r="H63" s="7"/>
      <c r="I63" s="7"/>
    </row>
    <row r="64" spans="2:13" s="26" customFormat="1" ht="12.1" customHeight="1" outlineLevel="1" x14ac:dyDescent="0.25">
      <c r="B64" s="136"/>
      <c r="C64" s="137"/>
      <c r="D64" s="137"/>
      <c r="E64" s="137"/>
      <c r="F64" s="137"/>
      <c r="G64" s="138"/>
      <c r="H64" s="138"/>
      <c r="I64" s="138"/>
      <c r="J64" s="138"/>
      <c r="K64" s="138"/>
      <c r="L64" s="137"/>
      <c r="M64" s="137"/>
    </row>
    <row r="65" spans="2:20" s="26" customFormat="1" ht="18" customHeight="1" x14ac:dyDescent="0.25">
      <c r="B65" s="62" t="s">
        <v>63</v>
      </c>
      <c r="C65" s="63">
        <f>C21</f>
        <v>0</v>
      </c>
      <c r="D65" s="63">
        <f>D21</f>
        <v>0</v>
      </c>
      <c r="E65" s="63">
        <f>E21</f>
        <v>0</v>
      </c>
      <c r="F65" s="63">
        <f>F21</f>
        <v>0</v>
      </c>
      <c r="G65" s="65" t="e">
        <f>G22+G24</f>
        <v>#DIV/0!</v>
      </c>
      <c r="H65" s="65" t="e">
        <f>H22+H24</f>
        <v>#DIV/0!</v>
      </c>
      <c r="I65" s="65" t="e">
        <f>I22+I24</f>
        <v>#DIV/0!</v>
      </c>
      <c r="J65" s="65" t="e">
        <f>J22+J24</f>
        <v>#DIV/0!</v>
      </c>
      <c r="K65" s="66" t="e">
        <f>K22+K24</f>
        <v>#DIV/0!</v>
      </c>
      <c r="L65" s="67" t="e">
        <f>(F65/C65)^(1/3)-1</f>
        <v>#DIV/0!</v>
      </c>
      <c r="M65" s="67" t="e">
        <f>(K65/G65)^(1/4)-1</f>
        <v>#DIV/0!</v>
      </c>
    </row>
    <row r="66" spans="2:20" s="26" customFormat="1" ht="18" customHeight="1" x14ac:dyDescent="0.25">
      <c r="B66" s="32" t="s">
        <v>64</v>
      </c>
      <c r="C66" s="140">
        <f>C65*C6</f>
        <v>0</v>
      </c>
      <c r="D66" s="140">
        <f>D65*C6</f>
        <v>0</v>
      </c>
      <c r="E66" s="140">
        <f>E65*C6</f>
        <v>0</v>
      </c>
      <c r="F66" s="140">
        <f>F65*C6</f>
        <v>0</v>
      </c>
      <c r="G66" s="35" t="e">
        <f>DCF!$C$59*-G65</f>
        <v>#DIV/0!</v>
      </c>
      <c r="H66" s="35" t="e">
        <f>DCF!$C$59*-H65</f>
        <v>#DIV/0!</v>
      </c>
      <c r="I66" s="35" t="e">
        <f>DCF!$C$59*-I65</f>
        <v>#DIV/0!</v>
      </c>
      <c r="J66" s="35" t="e">
        <f>DCF!$C$59*-J65</f>
        <v>#DIV/0!</v>
      </c>
      <c r="K66" s="36" t="e">
        <f>DCF!$C$59*-K65</f>
        <v>#DIV/0!</v>
      </c>
      <c r="L66" s="49" t="str">
        <f>IFERROR((F66/C66)^(1/3)-1,"N/A")</f>
        <v>N/A</v>
      </c>
      <c r="M66" s="49" t="str">
        <f>IFERROR((K66/G66)^(1/4)-1,"N/A")</f>
        <v>N/A</v>
      </c>
    </row>
    <row r="67" spans="2:20" s="26" customFormat="1" ht="18" customHeight="1" x14ac:dyDescent="0.25">
      <c r="B67" s="32" t="s">
        <v>65</v>
      </c>
      <c r="C67" s="33"/>
      <c r="D67" s="33"/>
      <c r="E67" s="33"/>
      <c r="F67" s="34"/>
      <c r="G67" s="35" t="e">
        <f>-(G68*G11)</f>
        <v>#DIV/0!</v>
      </c>
      <c r="H67" s="35" t="e">
        <f>-(H68*H11)</f>
        <v>#DIV/0!</v>
      </c>
      <c r="I67" s="35" t="e">
        <f>-(I68*I11)</f>
        <v>#DIV/0!</v>
      </c>
      <c r="J67" s="35" t="e">
        <f>-(J68*J11)</f>
        <v>#DIV/0!</v>
      </c>
      <c r="K67" s="36" t="e">
        <f>-(K68*K11)</f>
        <v>#DIV/0!</v>
      </c>
      <c r="L67" s="140" t="str">
        <f>IFERROR((F67/C67)^(1/3)-1,"N/A")</f>
        <v>N/A</v>
      </c>
      <c r="M67" s="140" t="str">
        <f>IFERROR((K67/G67)^(1/4)-1,"n.a.")</f>
        <v>n.a.</v>
      </c>
      <c r="P67" s="229"/>
      <c r="Q67" s="228"/>
      <c r="R67" s="228"/>
      <c r="S67" s="228"/>
      <c r="T67" s="228"/>
    </row>
    <row r="68" spans="2:20" s="26" customFormat="1" ht="18" customHeight="1" x14ac:dyDescent="0.25">
      <c r="B68" s="38" t="s">
        <v>19</v>
      </c>
      <c r="C68" s="140"/>
      <c r="D68" s="37" t="e">
        <f>-D67/D11</f>
        <v>#DIV/0!</v>
      </c>
      <c r="E68" s="37" t="e">
        <f>-E67/E11</f>
        <v>#DIV/0!</v>
      </c>
      <c r="F68" s="56" t="e">
        <f>-F67/F11</f>
        <v>#DIV/0!</v>
      </c>
      <c r="G68" s="57" t="e">
        <f>AVERAGE(D68:F68)</f>
        <v>#DIV/0!</v>
      </c>
      <c r="H68" s="57" t="e">
        <f>G68</f>
        <v>#DIV/0!</v>
      </c>
      <c r="I68" s="57" t="e">
        <f>H68</f>
        <v>#DIV/0!</v>
      </c>
      <c r="J68" s="57" t="e">
        <f>I68</f>
        <v>#DIV/0!</v>
      </c>
      <c r="K68" s="58" t="e">
        <f>J68</f>
        <v>#DIV/0!</v>
      </c>
      <c r="L68" s="37"/>
      <c r="M68" s="37"/>
      <c r="N68" s="141"/>
      <c r="O68" s="141"/>
      <c r="P68" s="142"/>
      <c r="Q68" s="142"/>
      <c r="R68" s="142"/>
      <c r="S68" s="142"/>
      <c r="T68" s="142"/>
    </row>
    <row r="69" spans="2:20" s="26" customFormat="1" ht="18" customHeight="1" x14ac:dyDescent="0.25">
      <c r="B69" s="32" t="s">
        <v>66</v>
      </c>
      <c r="C69" s="33"/>
      <c r="D69" s="33"/>
      <c r="E69" s="33"/>
      <c r="F69" s="34"/>
      <c r="G69" s="35" t="e">
        <f>G70*G11</f>
        <v>#DIV/0!</v>
      </c>
      <c r="H69" s="35" t="e">
        <f>H70*H11</f>
        <v>#DIV/0!</v>
      </c>
      <c r="I69" s="35" t="e">
        <f>I70*I11</f>
        <v>#DIV/0!</v>
      </c>
      <c r="J69" s="35" t="e">
        <f>J70*J11</f>
        <v>#DIV/0!</v>
      </c>
      <c r="K69" s="36" t="e">
        <f>K70*K11</f>
        <v>#DIV/0!</v>
      </c>
      <c r="L69" s="140"/>
      <c r="M69" s="140"/>
    </row>
    <row r="70" spans="2:20" s="26" customFormat="1" ht="18" customHeight="1" x14ac:dyDescent="0.25">
      <c r="B70" s="38" t="s">
        <v>19</v>
      </c>
      <c r="C70" s="37" t="e">
        <f>C69/C11</f>
        <v>#DIV/0!</v>
      </c>
      <c r="D70" s="37" t="e">
        <f>D69/D11</f>
        <v>#DIV/0!</v>
      </c>
      <c r="E70" s="37" t="e">
        <f>E69/E11</f>
        <v>#DIV/0!</v>
      </c>
      <c r="F70" s="56" t="e">
        <f>F69/F11</f>
        <v>#DIV/0!</v>
      </c>
      <c r="G70" s="57" t="e">
        <f>F70</f>
        <v>#DIV/0!</v>
      </c>
      <c r="H70" s="57" t="e">
        <f>G70</f>
        <v>#DIV/0!</v>
      </c>
      <c r="I70" s="57" t="e">
        <f>H70</f>
        <v>#DIV/0!</v>
      </c>
      <c r="J70" s="57" t="e">
        <f>I70</f>
        <v>#DIV/0!</v>
      </c>
      <c r="K70" s="58" t="e">
        <f>J70</f>
        <v>#DIV/0!</v>
      </c>
      <c r="L70" s="140"/>
      <c r="M70" s="140"/>
    </row>
    <row r="71" spans="2:20" s="26" customFormat="1" ht="18" customHeight="1" x14ac:dyDescent="0.25">
      <c r="B71" s="32" t="s">
        <v>67</v>
      </c>
      <c r="C71" s="143"/>
      <c r="D71" s="140">
        <f t="shared" ref="D71:K71" si="4">C69-D69</f>
        <v>0</v>
      </c>
      <c r="E71" s="140">
        <f t="shared" si="4"/>
        <v>0</v>
      </c>
      <c r="F71" s="144">
        <f t="shared" si="4"/>
        <v>0</v>
      </c>
      <c r="G71" s="35" t="e">
        <f t="shared" si="4"/>
        <v>#DIV/0!</v>
      </c>
      <c r="H71" s="35" t="e">
        <f t="shared" si="4"/>
        <v>#DIV/0!</v>
      </c>
      <c r="I71" s="35" t="e">
        <f t="shared" si="4"/>
        <v>#DIV/0!</v>
      </c>
      <c r="J71" s="35" t="e">
        <f t="shared" si="4"/>
        <v>#DIV/0!</v>
      </c>
      <c r="K71" s="36" t="e">
        <f t="shared" si="4"/>
        <v>#DIV/0!</v>
      </c>
      <c r="L71" s="145"/>
      <c r="M71" s="145"/>
      <c r="N71" s="146"/>
      <c r="O71" s="142"/>
      <c r="P71" s="147"/>
      <c r="Q71" s="147"/>
      <c r="R71" s="147"/>
      <c r="S71" s="147"/>
      <c r="T71" s="147"/>
    </row>
    <row r="72" spans="2:20" s="26" customFormat="1" ht="18" customHeight="1" x14ac:dyDescent="0.25">
      <c r="B72" s="62" t="s">
        <v>68</v>
      </c>
      <c r="C72" s="63"/>
      <c r="D72" s="63">
        <f t="shared" ref="D72:K72" si="5">D22+D66+D67+D71</f>
        <v>0</v>
      </c>
      <c r="E72" s="63">
        <f t="shared" si="5"/>
        <v>0</v>
      </c>
      <c r="F72" s="64">
        <f t="shared" si="5"/>
        <v>0</v>
      </c>
      <c r="G72" s="65" t="e">
        <f t="shared" si="5"/>
        <v>#DIV/0!</v>
      </c>
      <c r="H72" s="65" t="e">
        <f t="shared" si="5"/>
        <v>#DIV/0!</v>
      </c>
      <c r="I72" s="65" t="e">
        <f t="shared" si="5"/>
        <v>#DIV/0!</v>
      </c>
      <c r="J72" s="65" t="e">
        <f t="shared" si="5"/>
        <v>#DIV/0!</v>
      </c>
      <c r="K72" s="66" t="e">
        <f t="shared" si="5"/>
        <v>#DIV/0!</v>
      </c>
      <c r="L72" s="63"/>
      <c r="M72" s="63"/>
      <c r="N72" s="146"/>
      <c r="O72" s="142"/>
      <c r="P72" s="147"/>
      <c r="Q72" s="147"/>
      <c r="R72" s="147"/>
      <c r="S72" s="147"/>
      <c r="T72" s="147"/>
    </row>
    <row r="73" spans="2:20" s="26" customFormat="1" ht="18" customHeight="1" x14ac:dyDescent="0.25">
      <c r="B73" s="32" t="s">
        <v>62</v>
      </c>
      <c r="C73" s="148"/>
      <c r="D73" s="140"/>
      <c r="E73" s="140"/>
      <c r="F73" s="144"/>
      <c r="G73" s="149" t="e">
        <f ca="1">WACC</f>
        <v>#DIV/0!</v>
      </c>
      <c r="H73" s="149" t="e">
        <f ca="1">WACC</f>
        <v>#DIV/0!</v>
      </c>
      <c r="I73" s="149" t="e">
        <f ca="1">WACC</f>
        <v>#DIV/0!</v>
      </c>
      <c r="J73" s="149" t="e">
        <f ca="1">WACC</f>
        <v>#DIV/0!</v>
      </c>
      <c r="K73" s="120" t="e">
        <f ca="1">WACC</f>
        <v>#DIV/0!</v>
      </c>
      <c r="L73" s="140"/>
      <c r="M73" s="140"/>
    </row>
    <row r="74" spans="2:20" s="26" customFormat="1" ht="18" customHeight="1" x14ac:dyDescent="0.25">
      <c r="B74" s="32" t="s">
        <v>69</v>
      </c>
      <c r="C74" s="140"/>
      <c r="D74" s="140"/>
      <c r="E74" s="140"/>
      <c r="F74" s="144"/>
      <c r="G74" s="150" t="e">
        <f ca="1">1 / (1 +WACC)^1</f>
        <v>#DIV/0!</v>
      </c>
      <c r="H74" s="151" t="e">
        <f ca="1">G74+1</f>
        <v>#DIV/0!</v>
      </c>
      <c r="I74" s="151" t="e">
        <f ca="1">H74+1</f>
        <v>#DIV/0!</v>
      </c>
      <c r="J74" s="151" t="e">
        <f ca="1">I74+1</f>
        <v>#DIV/0!</v>
      </c>
      <c r="K74" s="152" t="e">
        <f ca="1">J74+1</f>
        <v>#DIV/0!</v>
      </c>
      <c r="L74" s="140"/>
      <c r="M74" s="140"/>
    </row>
    <row r="75" spans="2:20" s="26" customFormat="1" ht="18" customHeight="1" x14ac:dyDescent="0.25">
      <c r="B75" s="32" t="s">
        <v>70</v>
      </c>
      <c r="C75" s="140"/>
      <c r="D75" s="140"/>
      <c r="E75" s="140"/>
      <c r="F75" s="144"/>
      <c r="G75" s="153" t="e">
        <f ca="1">1/((1+G73)^G74)</f>
        <v>#DIV/0!</v>
      </c>
      <c r="H75" s="153" t="e">
        <f ca="1">1/((1+H73)^H74)</f>
        <v>#DIV/0!</v>
      </c>
      <c r="I75" s="153" t="e">
        <f ca="1">1/((1+I73)^I74)</f>
        <v>#DIV/0!</v>
      </c>
      <c r="J75" s="153" t="e">
        <f ca="1">1/((1+J73)^J74)</f>
        <v>#DIV/0!</v>
      </c>
      <c r="K75" s="122" t="e">
        <f ca="1">1/((1+K73)^K74)</f>
        <v>#DIV/0!</v>
      </c>
      <c r="L75" s="140"/>
      <c r="M75" s="140"/>
    </row>
    <row r="76" spans="2:20" s="26" customFormat="1" ht="18" customHeight="1" thickBot="1" x14ac:dyDescent="0.3">
      <c r="B76" s="154" t="s">
        <v>71</v>
      </c>
      <c r="C76" s="155"/>
      <c r="D76" s="155"/>
      <c r="E76" s="155"/>
      <c r="F76" s="156"/>
      <c r="G76" s="157" t="e">
        <f ca="1">G75*G72</f>
        <v>#DIV/0!</v>
      </c>
      <c r="H76" s="157" t="e">
        <f ca="1">H75*H72</f>
        <v>#DIV/0!</v>
      </c>
      <c r="I76" s="157" t="e">
        <f ca="1">I75*I72</f>
        <v>#DIV/0!</v>
      </c>
      <c r="J76" s="157" t="e">
        <f ca="1">J75*J72</f>
        <v>#DIV/0!</v>
      </c>
      <c r="K76" s="158" t="e">
        <f ca="1">K75*K72</f>
        <v>#DIV/0!</v>
      </c>
      <c r="L76" s="155"/>
      <c r="M76" s="155"/>
      <c r="N76" s="146"/>
      <c r="O76" s="142"/>
      <c r="P76" s="147"/>
      <c r="Q76" s="147"/>
      <c r="R76" s="147"/>
      <c r="S76" s="147"/>
      <c r="T76" s="147"/>
    </row>
    <row r="77" spans="2:20" s="26" customFormat="1" ht="18" customHeight="1" thickTop="1" x14ac:dyDescent="0.25">
      <c r="B77" s="136"/>
      <c r="C77" s="137"/>
      <c r="D77" s="137"/>
      <c r="E77" s="137"/>
      <c r="F77" s="137"/>
      <c r="G77" s="138"/>
      <c r="H77" s="138"/>
      <c r="I77" s="138"/>
      <c r="J77" s="138"/>
      <c r="K77" s="138"/>
      <c r="L77" s="137"/>
      <c r="M77" s="137"/>
    </row>
    <row r="78" spans="2:20" s="26" customFormat="1" ht="18" customHeight="1" x14ac:dyDescent="0.25">
      <c r="B78" s="159" t="s">
        <v>72</v>
      </c>
      <c r="C78" s="159"/>
      <c r="D78" s="137"/>
      <c r="E78" s="7" t="s">
        <v>73</v>
      </c>
      <c r="F78" s="8"/>
      <c r="G78" s="160">
        <f>F10</f>
        <v>0</v>
      </c>
      <c r="H78" s="161">
        <f>G10</f>
        <v>1</v>
      </c>
      <c r="I78" s="161">
        <f>H10</f>
        <v>2</v>
      </c>
      <c r="J78" s="161">
        <f>I10</f>
        <v>3</v>
      </c>
      <c r="K78" s="161">
        <f>J10</f>
        <v>4</v>
      </c>
      <c r="L78" s="137"/>
      <c r="M78" s="137"/>
    </row>
    <row r="79" spans="2:20" s="26" customFormat="1" ht="18" customHeight="1" x14ac:dyDescent="0.25">
      <c r="B79" s="162" t="s">
        <v>74</v>
      </c>
      <c r="C79" s="163" t="e">
        <f ca="1">SUM(DCF!G76:K76)+DCF!C95</f>
        <v>#DIV/0!</v>
      </c>
      <c r="D79" s="137"/>
      <c r="E79" s="164" t="s">
        <v>75</v>
      </c>
      <c r="F79" s="164"/>
      <c r="G79" s="165" t="e">
        <f ca="1">EV/F11</f>
        <v>#DIV/0!</v>
      </c>
      <c r="H79" s="165" t="e">
        <f ca="1">EV/G11</f>
        <v>#DIV/0!</v>
      </c>
      <c r="I79" s="165" t="e">
        <f ca="1">EV/H11</f>
        <v>#DIV/0!</v>
      </c>
      <c r="J79" s="165" t="e">
        <f ca="1">EV/I11</f>
        <v>#DIV/0!</v>
      </c>
      <c r="K79" s="165" t="e">
        <f ca="1">EV/J11</f>
        <v>#DIV/0!</v>
      </c>
      <c r="L79" s="137"/>
      <c r="M79" s="137"/>
    </row>
    <row r="80" spans="2:20" s="26" customFormat="1" ht="18" customHeight="1" outlineLevel="1" x14ac:dyDescent="0.25">
      <c r="B80" s="166" t="s">
        <v>76</v>
      </c>
      <c r="C80" s="167"/>
      <c r="D80" s="137"/>
      <c r="E80" s="168" t="s">
        <v>77</v>
      </c>
      <c r="F80" s="169"/>
      <c r="G80" s="170"/>
      <c r="H80" s="170"/>
      <c r="I80" s="170"/>
      <c r="J80" s="170"/>
      <c r="K80" s="170"/>
      <c r="L80" s="137"/>
      <c r="M80" s="137"/>
    </row>
    <row r="81" spans="2:20" s="26" customFormat="1" ht="18" customHeight="1" outlineLevel="1" x14ac:dyDescent="0.25">
      <c r="B81" s="166" t="s">
        <v>78</v>
      </c>
      <c r="C81" s="167"/>
      <c r="D81" s="137"/>
      <c r="E81" s="168" t="s">
        <v>77</v>
      </c>
      <c r="F81" s="169"/>
      <c r="G81" s="170"/>
      <c r="H81" s="170"/>
      <c r="I81" s="170"/>
      <c r="J81" s="170"/>
      <c r="K81" s="170"/>
      <c r="L81" s="137"/>
      <c r="M81" s="137"/>
    </row>
    <row r="82" spans="2:20" s="26" customFormat="1" ht="18" customHeight="1" outlineLevel="1" x14ac:dyDescent="0.25">
      <c r="B82" s="171" t="s">
        <v>79</v>
      </c>
      <c r="C82" s="172">
        <f>C80-C81</f>
        <v>0</v>
      </c>
      <c r="D82" s="137"/>
      <c r="E82" s="168" t="s">
        <v>77</v>
      </c>
      <c r="F82" s="173"/>
      <c r="G82" s="174"/>
      <c r="H82" s="174"/>
      <c r="I82" s="174"/>
      <c r="J82" s="174"/>
      <c r="K82" s="174"/>
      <c r="L82" s="137"/>
      <c r="M82" s="137"/>
    </row>
    <row r="83" spans="2:20" s="26" customFormat="1" ht="18" customHeight="1" x14ac:dyDescent="0.25">
      <c r="B83" s="169" t="s">
        <v>80</v>
      </c>
      <c r="C83" s="175" t="e">
        <f ca="1">C79-C82</f>
        <v>#DIV/0!</v>
      </c>
      <c r="D83" s="137"/>
      <c r="E83" s="169" t="s">
        <v>81</v>
      </c>
      <c r="F83" s="169"/>
      <c r="G83" s="170" t="e">
        <f ca="1">EV/F22</f>
        <v>#DIV/0!</v>
      </c>
      <c r="H83" s="170" t="e">
        <f ca="1">EV/G22</f>
        <v>#DIV/0!</v>
      </c>
      <c r="I83" s="170" t="e">
        <f ca="1">EV/H22</f>
        <v>#DIV/0!</v>
      </c>
      <c r="J83" s="170" t="e">
        <f ca="1">EV/I22</f>
        <v>#DIV/0!</v>
      </c>
      <c r="K83" s="170" t="e">
        <f ca="1">EV/J22</f>
        <v>#DIV/0!</v>
      </c>
      <c r="L83" s="137"/>
      <c r="M83" s="137"/>
    </row>
    <row r="84" spans="2:20" s="26" customFormat="1" ht="18" customHeight="1" outlineLevel="1" x14ac:dyDescent="0.25">
      <c r="B84" s="166" t="s">
        <v>82</v>
      </c>
      <c r="C84" s="172"/>
      <c r="D84" s="137"/>
      <c r="E84" s="168" t="s">
        <v>77</v>
      </c>
      <c r="F84" s="173"/>
      <c r="G84" s="174"/>
      <c r="H84" s="174"/>
      <c r="I84" s="174"/>
      <c r="J84" s="174"/>
      <c r="K84" s="174"/>
      <c r="L84" s="137"/>
      <c r="M84" s="137"/>
    </row>
    <row r="85" spans="2:20" s="26" customFormat="1" ht="18" customHeight="1" x14ac:dyDescent="0.25">
      <c r="B85" s="176" t="s">
        <v>83</v>
      </c>
      <c r="C85" s="177" t="e">
        <f ca="1">C83/C84</f>
        <v>#DIV/0!</v>
      </c>
      <c r="D85" s="137"/>
      <c r="E85" s="176" t="s">
        <v>63</v>
      </c>
      <c r="F85" s="176"/>
      <c r="G85" s="178" t="e">
        <f ca="1">EV/F65</f>
        <v>#DIV/0!</v>
      </c>
      <c r="H85" s="178" t="e">
        <f ca="1">EV/G65</f>
        <v>#DIV/0!</v>
      </c>
      <c r="I85" s="178" t="e">
        <f ca="1">EV/H65</f>
        <v>#DIV/0!</v>
      </c>
      <c r="J85" s="178" t="e">
        <f ca="1">EV/I65</f>
        <v>#DIV/0!</v>
      </c>
      <c r="K85" s="178" t="e">
        <f ca="1">EV/J65</f>
        <v>#DIV/0!</v>
      </c>
      <c r="L85" s="137"/>
      <c r="M85" s="137"/>
    </row>
    <row r="86" spans="2:20" s="26" customFormat="1" ht="18" customHeight="1" x14ac:dyDescent="0.25">
      <c r="B86" s="8"/>
      <c r="C86" s="8"/>
      <c r="D86" s="137"/>
      <c r="E86" s="7"/>
      <c r="F86" s="8"/>
      <c r="G86" s="8"/>
      <c r="H86" s="8"/>
      <c r="I86" s="8"/>
      <c r="J86" s="8"/>
      <c r="K86" s="8"/>
      <c r="L86" s="137"/>
      <c r="M86" s="137"/>
    </row>
    <row r="87" spans="2:20" s="26" customFormat="1" ht="18" customHeight="1" x14ac:dyDescent="0.25">
      <c r="B87" s="179" t="s">
        <v>84</v>
      </c>
      <c r="C87" s="180"/>
      <c r="D87" s="138"/>
      <c r="M87" s="137"/>
    </row>
    <row r="88" spans="2:20" s="26" customFormat="1" ht="18" customHeight="1" x14ac:dyDescent="0.25">
      <c r="B88" s="181" t="s">
        <v>85</v>
      </c>
      <c r="C88" s="172" t="e">
        <f>K72</f>
        <v>#DIV/0!</v>
      </c>
      <c r="D88" s="182"/>
      <c r="M88" s="182"/>
    </row>
    <row r="89" spans="2:20" s="26" customFormat="1" ht="18" customHeight="1" x14ac:dyDescent="0.25">
      <c r="B89" s="181" t="s">
        <v>86</v>
      </c>
      <c r="C89" s="183">
        <f>F6</f>
        <v>0.02</v>
      </c>
      <c r="D89" s="137"/>
      <c r="M89" s="137"/>
      <c r="N89" s="227"/>
      <c r="O89" s="228"/>
      <c r="P89" s="228"/>
      <c r="Q89" s="228"/>
      <c r="R89" s="228"/>
      <c r="S89" s="228"/>
      <c r="T89" s="228"/>
    </row>
    <row r="90" spans="2:20" s="26" customFormat="1" ht="18" customHeight="1" x14ac:dyDescent="0.25">
      <c r="B90" s="181" t="s">
        <v>87</v>
      </c>
      <c r="C90" s="172" t="e">
        <f>K22</f>
        <v>#DIV/0!</v>
      </c>
      <c r="D90" s="137"/>
      <c r="M90" s="137"/>
      <c r="P90" s="227"/>
      <c r="Q90" s="228"/>
      <c r="R90" s="228"/>
      <c r="S90" s="228"/>
      <c r="T90" s="228"/>
    </row>
    <row r="91" spans="2:20" s="26" customFormat="1" ht="18" customHeight="1" x14ac:dyDescent="0.25">
      <c r="B91" s="181" t="s">
        <v>88</v>
      </c>
      <c r="C91" s="172" t="e">
        <f ca="1">C88*(1+C89)/(WACC-C89)</f>
        <v>#DIV/0!</v>
      </c>
      <c r="D91" s="137"/>
      <c r="M91" s="137"/>
      <c r="N91" s="184"/>
      <c r="O91" s="185"/>
      <c r="P91" s="186"/>
      <c r="Q91" s="186"/>
      <c r="R91" s="187"/>
      <c r="S91" s="186"/>
      <c r="T91" s="186"/>
    </row>
    <row r="92" spans="2:20" s="26" customFormat="1" ht="18" customHeight="1" x14ac:dyDescent="0.25">
      <c r="B92" s="188" t="s">
        <v>89</v>
      </c>
      <c r="C92" s="189" t="e">
        <f ca="1">(C91*(1+WACC)^0.5)/C90</f>
        <v>#DIV/0!</v>
      </c>
      <c r="D92" s="137"/>
      <c r="M92" s="137"/>
      <c r="N92" s="190"/>
      <c r="O92" s="186"/>
      <c r="P92" s="191"/>
      <c r="Q92" s="191"/>
      <c r="R92" s="191"/>
      <c r="S92" s="191"/>
      <c r="T92" s="191"/>
    </row>
    <row r="93" spans="2:20" s="26" customFormat="1" ht="18" customHeight="1" x14ac:dyDescent="0.25">
      <c r="B93" s="181" t="s">
        <v>69</v>
      </c>
      <c r="C93" s="192" t="e">
        <f ca="1">K74+0.5</f>
        <v>#DIV/0!</v>
      </c>
      <c r="D93" s="138"/>
      <c r="M93" s="137"/>
      <c r="N93" s="190"/>
      <c r="O93" s="186"/>
      <c r="P93" s="191"/>
      <c r="Q93" s="191"/>
      <c r="R93" s="191"/>
      <c r="S93" s="191"/>
      <c r="T93" s="191"/>
    </row>
    <row r="94" spans="2:20" s="26" customFormat="1" ht="18" customHeight="1" x14ac:dyDescent="0.25">
      <c r="B94" s="181" t="s">
        <v>70</v>
      </c>
      <c r="C94" s="192" t="e">
        <f ca="1">1/((1+WACC)^C93)</f>
        <v>#DIV/0!</v>
      </c>
      <c r="D94" s="182"/>
      <c r="M94" s="137"/>
      <c r="N94" s="190"/>
      <c r="O94" s="187"/>
      <c r="P94" s="191"/>
      <c r="Q94" s="191"/>
      <c r="R94" s="193"/>
      <c r="S94" s="191"/>
      <c r="T94" s="191"/>
    </row>
    <row r="95" spans="2:20" s="26" customFormat="1" ht="18" customHeight="1" x14ac:dyDescent="0.25">
      <c r="B95" s="194" t="s">
        <v>90</v>
      </c>
      <c r="C95" s="195" t="e">
        <f ca="1">C91*C94</f>
        <v>#DIV/0!</v>
      </c>
      <c r="D95" s="137"/>
      <c r="M95" s="137"/>
      <c r="N95" s="190"/>
      <c r="O95" s="186"/>
      <c r="P95" s="191"/>
      <c r="Q95" s="191"/>
      <c r="R95" s="191"/>
      <c r="S95" s="191"/>
      <c r="T95" s="191"/>
    </row>
    <row r="96" spans="2:20" s="26" customFormat="1" ht="18" customHeight="1" x14ac:dyDescent="0.25">
      <c r="B96" s="38" t="s">
        <v>91</v>
      </c>
      <c r="C96" s="196" t="e">
        <f ca="1">C95/DCF!C79</f>
        <v>#DIV/0!</v>
      </c>
      <c r="D96" s="137"/>
      <c r="M96" s="137"/>
      <c r="N96" s="190"/>
      <c r="O96" s="186"/>
      <c r="P96" s="191"/>
      <c r="Q96" s="191"/>
      <c r="R96" s="191"/>
      <c r="S96" s="191"/>
      <c r="T96" s="191"/>
    </row>
    <row r="97" spans="2:13" x14ac:dyDescent="0.25">
      <c r="B97" s="197"/>
      <c r="C97" s="198"/>
      <c r="D97" s="16"/>
      <c r="L97" s="15"/>
      <c r="M97" s="17"/>
    </row>
    <row r="98" spans="2:13" x14ac:dyDescent="0.25">
      <c r="D98" s="16"/>
      <c r="L98" s="15"/>
      <c r="M98" s="17"/>
    </row>
    <row r="99" spans="2:13" x14ac:dyDescent="0.25">
      <c r="D99" s="16"/>
      <c r="L99" s="15"/>
      <c r="M99" s="17"/>
    </row>
    <row r="100" spans="2:13" x14ac:dyDescent="0.25">
      <c r="D100" s="16"/>
      <c r="L100" s="15"/>
      <c r="M100" s="17"/>
    </row>
    <row r="101" spans="2:13" x14ac:dyDescent="0.25">
      <c r="D101" s="16"/>
      <c r="L101" s="15"/>
      <c r="M101" s="17"/>
    </row>
    <row r="102" spans="2:13" ht="12.9" customHeight="1" x14ac:dyDescent="0.25">
      <c r="B102" s="199"/>
      <c r="C102" s="200"/>
      <c r="D102" s="16"/>
      <c r="L102" s="15"/>
      <c r="M102" s="17"/>
    </row>
    <row r="103" spans="2:13" x14ac:dyDescent="0.25">
      <c r="D103" s="16"/>
      <c r="L103" s="15"/>
      <c r="M103" s="17"/>
    </row>
    <row r="104" spans="2:13" x14ac:dyDescent="0.25">
      <c r="D104" s="16"/>
      <c r="L104" s="15"/>
      <c r="M104" s="17"/>
    </row>
    <row r="105" spans="2:13" x14ac:dyDescent="0.25">
      <c r="D105" s="16"/>
      <c r="E105" s="201"/>
      <c r="F105" s="17"/>
      <c r="G105" s="17"/>
      <c r="H105" s="17"/>
      <c r="I105" s="17"/>
      <c r="J105" s="17"/>
      <c r="K105" s="17"/>
      <c r="L105" s="17"/>
      <c r="M105" s="17"/>
    </row>
    <row r="106" spans="2:13" x14ac:dyDescent="0.25">
      <c r="D106" s="202"/>
      <c r="E106" s="203"/>
      <c r="F106" s="203"/>
      <c r="G106" s="79"/>
      <c r="H106" s="79"/>
      <c r="I106" s="79"/>
      <c r="J106" s="79"/>
      <c r="K106" s="79"/>
      <c r="L106" s="203"/>
      <c r="M106" s="203"/>
    </row>
    <row r="107" spans="2:13" x14ac:dyDescent="0.25">
      <c r="E107" s="5"/>
      <c r="F107" s="5"/>
      <c r="G107" s="5"/>
      <c r="H107" s="5"/>
      <c r="I107" s="5"/>
      <c r="J107" s="5"/>
      <c r="K107" s="5"/>
      <c r="L107" s="204"/>
      <c r="M107" s="204"/>
    </row>
    <row r="108" spans="2:13" x14ac:dyDescent="0.25">
      <c r="E108" s="5"/>
      <c r="F108" s="5"/>
      <c r="G108" s="5"/>
      <c r="H108" s="5"/>
      <c r="I108" s="5"/>
      <c r="J108" s="5"/>
      <c r="K108" s="5"/>
      <c r="L108" s="204"/>
      <c r="M108" s="204"/>
    </row>
    <row r="109" spans="2:13" x14ac:dyDescent="0.25">
      <c r="B109" s="205"/>
      <c r="C109" s="206"/>
    </row>
    <row r="114" spans="2:20" x14ac:dyDescent="0.25">
      <c r="B114" s="205"/>
      <c r="C114" s="207"/>
    </row>
    <row r="115" spans="2:20" s="208" customFormat="1" x14ac:dyDescent="0.25">
      <c r="D115" s="15"/>
      <c r="E115" s="15"/>
      <c r="F115" s="15"/>
      <c r="G115" s="15"/>
      <c r="H115" s="15"/>
      <c r="I115" s="15"/>
      <c r="J115" s="15"/>
      <c r="K115" s="15"/>
      <c r="L115" s="114"/>
      <c r="M115" s="114"/>
      <c r="N115" s="15"/>
      <c r="O115" s="15"/>
      <c r="P115" s="15"/>
      <c r="Q115" s="15"/>
      <c r="R115" s="15"/>
      <c r="S115" s="15"/>
      <c r="T115" s="15"/>
    </row>
    <row r="116" spans="2:20" s="208" customFormat="1" x14ac:dyDescent="0.25">
      <c r="B116" s="209"/>
      <c r="C116" s="112"/>
      <c r="D116" s="15"/>
      <c r="E116" s="15"/>
      <c r="F116" s="15"/>
      <c r="G116" s="15"/>
      <c r="H116" s="15"/>
      <c r="I116" s="15"/>
      <c r="J116" s="15"/>
      <c r="K116" s="15"/>
      <c r="L116" s="114"/>
      <c r="M116" s="114"/>
    </row>
    <row r="117" spans="2:20" x14ac:dyDescent="0.25">
      <c r="C117" s="210"/>
      <c r="N117" s="208"/>
      <c r="O117" s="208"/>
      <c r="P117" s="208"/>
      <c r="Q117" s="208"/>
      <c r="R117" s="208"/>
      <c r="S117" s="208"/>
      <c r="T117" s="208"/>
    </row>
    <row r="118" spans="2:20" x14ac:dyDescent="0.25">
      <c r="C118" s="112"/>
      <c r="D118" s="113"/>
      <c r="E118" s="113"/>
      <c r="F118" s="113"/>
    </row>
    <row r="119" spans="2:20" x14ac:dyDescent="0.25">
      <c r="C119" s="112"/>
      <c r="D119" s="113"/>
      <c r="E119" s="113"/>
      <c r="F119" s="113"/>
    </row>
    <row r="120" spans="2:20" x14ac:dyDescent="0.25">
      <c r="C120" s="112"/>
      <c r="D120" s="113"/>
      <c r="E120" s="113"/>
      <c r="F120" s="113"/>
      <c r="L120" s="113"/>
      <c r="M120" s="113"/>
    </row>
    <row r="121" spans="2:20" x14ac:dyDescent="0.25">
      <c r="C121" s="5"/>
      <c r="D121" s="211"/>
      <c r="E121" s="211"/>
      <c r="F121" s="211"/>
      <c r="G121" s="211"/>
      <c r="H121" s="211"/>
      <c r="I121" s="211"/>
      <c r="J121" s="211"/>
      <c r="K121" s="211"/>
      <c r="L121" s="211"/>
      <c r="M121" s="211"/>
    </row>
    <row r="122" spans="2:20" x14ac:dyDescent="0.25">
      <c r="B122" s="212"/>
      <c r="C122" s="213"/>
      <c r="D122" s="213"/>
      <c r="E122" s="213"/>
      <c r="F122" s="213"/>
      <c r="L122" s="213"/>
      <c r="M122" s="213"/>
    </row>
    <row r="123" spans="2:20" x14ac:dyDescent="0.25">
      <c r="B123" s="225"/>
      <c r="C123" s="215"/>
      <c r="D123" s="215"/>
      <c r="E123" s="215"/>
      <c r="F123" s="215"/>
      <c r="L123" s="215"/>
      <c r="M123" s="215"/>
    </row>
    <row r="124" spans="2:20" x14ac:dyDescent="0.25">
      <c r="B124" s="226"/>
      <c r="C124" s="213"/>
      <c r="D124" s="213"/>
      <c r="E124" s="213"/>
      <c r="F124" s="213"/>
      <c r="L124" s="213"/>
      <c r="M124" s="213"/>
    </row>
    <row r="125" spans="2:20" x14ac:dyDescent="0.25">
      <c r="B125" s="214"/>
      <c r="C125" s="113"/>
      <c r="D125" s="113"/>
      <c r="E125" s="113"/>
      <c r="F125" s="113"/>
      <c r="L125" s="113"/>
      <c r="M125" s="113"/>
    </row>
    <row r="126" spans="2:20" x14ac:dyDescent="0.25">
      <c r="B126" s="214"/>
      <c r="C126" s="113"/>
      <c r="D126" s="113"/>
      <c r="E126" s="113"/>
      <c r="F126" s="113"/>
      <c r="L126" s="113"/>
      <c r="M126" s="113"/>
    </row>
    <row r="127" spans="2:20" x14ac:dyDescent="0.25">
      <c r="B127" s="214"/>
      <c r="C127" s="216"/>
      <c r="D127" s="216"/>
      <c r="E127" s="216"/>
      <c r="F127" s="216"/>
      <c r="L127" s="216"/>
      <c r="M127" s="216"/>
    </row>
    <row r="128" spans="2:20" s="208" customFormat="1" x14ac:dyDescent="0.25">
      <c r="B128" s="214"/>
      <c r="C128" s="113"/>
      <c r="D128" s="113"/>
      <c r="E128" s="113"/>
      <c r="F128" s="113"/>
      <c r="G128" s="15"/>
      <c r="H128" s="15"/>
      <c r="I128" s="15"/>
      <c r="J128" s="15"/>
      <c r="K128" s="15"/>
      <c r="L128" s="113"/>
      <c r="M128" s="113"/>
      <c r="N128" s="15"/>
      <c r="O128" s="15"/>
      <c r="P128" s="15"/>
      <c r="Q128" s="15"/>
      <c r="R128" s="15"/>
      <c r="S128" s="15"/>
      <c r="T128" s="15"/>
    </row>
    <row r="129" spans="2:20" x14ac:dyDescent="0.25">
      <c r="B129" s="214"/>
      <c r="C129" s="113"/>
      <c r="D129" s="113"/>
      <c r="E129" s="113"/>
      <c r="F129" s="113"/>
      <c r="L129" s="113"/>
      <c r="M129" s="113"/>
      <c r="N129" s="208"/>
      <c r="O129" s="208"/>
      <c r="P129" s="208"/>
      <c r="Q129" s="208"/>
      <c r="R129" s="208"/>
      <c r="S129" s="208"/>
      <c r="T129" s="208"/>
    </row>
    <row r="130" spans="2:20" x14ac:dyDescent="0.25">
      <c r="B130" s="214"/>
      <c r="C130" s="113"/>
      <c r="D130" s="113"/>
      <c r="E130" s="113"/>
      <c r="F130" s="113"/>
      <c r="L130" s="113"/>
      <c r="M130" s="113"/>
    </row>
    <row r="132" spans="2:20" x14ac:dyDescent="0.25">
      <c r="B132" s="217"/>
      <c r="C132" s="218"/>
      <c r="D132" s="218"/>
      <c r="E132" s="218"/>
      <c r="F132" s="218"/>
      <c r="L132" s="218"/>
      <c r="M132" s="218"/>
    </row>
    <row r="133" spans="2:20" x14ac:dyDescent="0.25">
      <c r="B133" s="212"/>
      <c r="C133" s="213"/>
      <c r="D133" s="213"/>
      <c r="E133" s="213"/>
      <c r="F133" s="213"/>
      <c r="L133" s="213"/>
      <c r="M133" s="213"/>
    </row>
    <row r="134" spans="2:20" x14ac:dyDescent="0.25">
      <c r="B134" s="225"/>
      <c r="C134" s="215"/>
      <c r="D134" s="215"/>
      <c r="E134" s="215"/>
      <c r="F134" s="215"/>
      <c r="L134" s="215"/>
      <c r="M134" s="215"/>
    </row>
    <row r="135" spans="2:20" x14ac:dyDescent="0.25">
      <c r="B135" s="226"/>
      <c r="C135" s="213"/>
      <c r="D135" s="213"/>
      <c r="E135" s="213"/>
      <c r="F135" s="213"/>
      <c r="L135" s="213"/>
      <c r="M135" s="213"/>
    </row>
    <row r="136" spans="2:20" x14ac:dyDescent="0.25">
      <c r="B136" s="214"/>
      <c r="C136" s="113"/>
      <c r="D136" s="113"/>
      <c r="E136" s="113"/>
      <c r="F136" s="113"/>
      <c r="L136" s="113"/>
      <c r="M136" s="113"/>
    </row>
    <row r="138" spans="2:20" x14ac:dyDescent="0.25">
      <c r="B138" s="214"/>
      <c r="C138" s="113"/>
      <c r="D138" s="113"/>
      <c r="E138" s="113"/>
      <c r="F138" s="113"/>
      <c r="L138" s="113"/>
      <c r="M138" s="113"/>
    </row>
    <row r="139" spans="2:20" x14ac:dyDescent="0.25">
      <c r="B139" s="214"/>
      <c r="C139" s="113"/>
      <c r="D139" s="113"/>
      <c r="E139" s="113"/>
      <c r="F139" s="113"/>
      <c r="L139" s="113"/>
      <c r="M139" s="113"/>
    </row>
    <row r="140" spans="2:20" x14ac:dyDescent="0.25">
      <c r="B140" s="214"/>
      <c r="C140" s="113"/>
      <c r="D140" s="113"/>
      <c r="E140" s="113"/>
      <c r="F140" s="113"/>
      <c r="L140" s="113"/>
      <c r="M140" s="113"/>
    </row>
    <row r="141" spans="2:20" x14ac:dyDescent="0.25">
      <c r="B141" s="214"/>
      <c r="C141" s="113"/>
      <c r="D141" s="113"/>
      <c r="E141" s="113"/>
      <c r="F141" s="113"/>
      <c r="L141" s="113"/>
      <c r="M141" s="113"/>
    </row>
    <row r="142" spans="2:20" x14ac:dyDescent="0.25">
      <c r="B142" s="214"/>
      <c r="C142" s="113"/>
      <c r="D142" s="113"/>
      <c r="E142" s="113"/>
      <c r="F142" s="113"/>
      <c r="L142" s="113"/>
      <c r="M142" s="113"/>
    </row>
    <row r="143" spans="2:20" x14ac:dyDescent="0.25">
      <c r="B143" s="214"/>
      <c r="C143" s="113"/>
      <c r="D143" s="113"/>
      <c r="E143" s="113"/>
      <c r="F143" s="113"/>
      <c r="L143" s="113"/>
      <c r="M143" s="113"/>
    </row>
    <row r="144" spans="2:20" x14ac:dyDescent="0.25">
      <c r="B144" s="214"/>
      <c r="C144" s="113"/>
      <c r="D144" s="113"/>
      <c r="E144" s="113"/>
      <c r="F144" s="113"/>
      <c r="L144" s="113"/>
      <c r="M144" s="113"/>
    </row>
    <row r="145" spans="2:13" x14ac:dyDescent="0.25">
      <c r="B145" s="219"/>
      <c r="C145" s="215"/>
      <c r="D145" s="215"/>
      <c r="E145" s="215"/>
      <c r="F145" s="215"/>
      <c r="L145" s="215"/>
      <c r="M145" s="215"/>
    </row>
    <row r="146" spans="2:13" x14ac:dyDescent="0.25">
      <c r="B146" s="217"/>
      <c r="C146" s="218"/>
      <c r="D146" s="218"/>
      <c r="E146" s="218"/>
      <c r="F146" s="218"/>
      <c r="L146" s="218"/>
      <c r="M146" s="218"/>
    </row>
    <row r="147" spans="2:13" x14ac:dyDescent="0.25">
      <c r="B147" s="212"/>
      <c r="C147" s="213"/>
      <c r="D147" s="213"/>
      <c r="E147" s="213"/>
      <c r="F147" s="213"/>
      <c r="L147" s="213"/>
      <c r="M147" s="213"/>
    </row>
    <row r="148" spans="2:13" x14ac:dyDescent="0.25">
      <c r="B148" s="225"/>
      <c r="C148" s="215"/>
      <c r="D148" s="215"/>
      <c r="E148" s="215"/>
      <c r="F148" s="215"/>
      <c r="L148" s="215"/>
      <c r="M148" s="215"/>
    </row>
    <row r="149" spans="2:13" x14ac:dyDescent="0.25">
      <c r="B149" s="226"/>
      <c r="C149" s="213"/>
      <c r="D149" s="213"/>
      <c r="E149" s="213"/>
      <c r="F149" s="213"/>
      <c r="L149" s="213"/>
      <c r="M149" s="213"/>
    </row>
    <row r="150" spans="2:13" x14ac:dyDescent="0.25">
      <c r="B150" s="214"/>
      <c r="C150" s="215"/>
      <c r="D150" s="215"/>
      <c r="E150" s="215"/>
      <c r="F150" s="215"/>
      <c r="L150" s="215"/>
      <c r="M150" s="215"/>
    </row>
    <row r="151" spans="2:13" x14ac:dyDescent="0.25">
      <c r="B151" s="214"/>
      <c r="C151" s="215"/>
      <c r="D151" s="215"/>
      <c r="E151" s="215"/>
      <c r="F151" s="215"/>
      <c r="L151" s="215"/>
      <c r="M151" s="215"/>
    </row>
    <row r="152" spans="2:13" x14ac:dyDescent="0.25">
      <c r="B152" s="214"/>
      <c r="C152" s="215"/>
      <c r="D152" s="215"/>
      <c r="E152" s="215"/>
      <c r="F152" s="215"/>
      <c r="L152" s="215"/>
      <c r="M152" s="215"/>
    </row>
    <row r="153" spans="2:13" x14ac:dyDescent="0.25">
      <c r="B153" s="214"/>
      <c r="C153" s="215"/>
      <c r="D153" s="215"/>
      <c r="E153" s="215"/>
      <c r="F153" s="215"/>
      <c r="L153" s="215"/>
      <c r="M153" s="215"/>
    </row>
    <row r="154" spans="2:13" x14ac:dyDescent="0.25">
      <c r="B154" s="214"/>
      <c r="C154" s="215"/>
      <c r="D154" s="215"/>
      <c r="E154" s="215"/>
      <c r="F154" s="215"/>
      <c r="L154" s="215"/>
      <c r="M154" s="215"/>
    </row>
    <row r="155" spans="2:13" x14ac:dyDescent="0.25">
      <c r="B155" s="214"/>
      <c r="C155" s="215"/>
      <c r="D155" s="215"/>
      <c r="E155" s="215"/>
      <c r="F155" s="215"/>
      <c r="L155" s="215"/>
      <c r="M155" s="215"/>
    </row>
    <row r="156" spans="2:13" x14ac:dyDescent="0.25">
      <c r="B156" s="214"/>
      <c r="C156" s="215"/>
      <c r="D156" s="215"/>
      <c r="E156" s="215"/>
      <c r="F156" s="215"/>
      <c r="L156" s="215"/>
      <c r="M156" s="215"/>
    </row>
    <row r="157" spans="2:13" x14ac:dyDescent="0.25">
      <c r="B157" s="214"/>
      <c r="C157" s="215"/>
      <c r="D157" s="215"/>
      <c r="E157" s="215"/>
      <c r="F157" s="215"/>
      <c r="L157" s="215"/>
      <c r="M157" s="215"/>
    </row>
    <row r="158" spans="2:13" x14ac:dyDescent="0.25">
      <c r="B158" s="214"/>
      <c r="C158" s="215"/>
      <c r="D158" s="215"/>
      <c r="E158" s="215"/>
      <c r="F158" s="215"/>
      <c r="L158" s="215"/>
      <c r="M158" s="215"/>
    </row>
    <row r="159" spans="2:13" x14ac:dyDescent="0.25">
      <c r="B159" s="214"/>
      <c r="C159" s="215"/>
      <c r="D159" s="215"/>
      <c r="E159" s="215"/>
      <c r="F159" s="215"/>
      <c r="L159" s="215"/>
      <c r="M159" s="215"/>
    </row>
    <row r="160" spans="2:13" x14ac:dyDescent="0.25">
      <c r="B160" s="214"/>
      <c r="C160" s="215"/>
      <c r="D160" s="215"/>
      <c r="E160" s="215"/>
      <c r="F160" s="215"/>
      <c r="L160" s="215"/>
      <c r="M160" s="215"/>
    </row>
    <row r="161" spans="2:13" x14ac:dyDescent="0.25">
      <c r="B161" s="214"/>
      <c r="C161" s="215"/>
      <c r="D161" s="215"/>
      <c r="E161" s="215"/>
      <c r="F161" s="215"/>
      <c r="L161" s="215"/>
      <c r="M161" s="215"/>
    </row>
    <row r="162" spans="2:13" x14ac:dyDescent="0.25">
      <c r="B162" s="214"/>
      <c r="C162" s="215"/>
      <c r="D162" s="215"/>
      <c r="E162" s="215"/>
      <c r="F162" s="215"/>
      <c r="L162" s="215"/>
      <c r="M162" s="215"/>
    </row>
    <row r="163" spans="2:13" x14ac:dyDescent="0.25">
      <c r="B163" s="214"/>
      <c r="C163" s="215"/>
      <c r="D163" s="215"/>
      <c r="E163" s="215"/>
      <c r="F163" s="215"/>
      <c r="L163" s="215"/>
      <c r="M163" s="215"/>
    </row>
    <row r="164" spans="2:13" x14ac:dyDescent="0.25">
      <c r="B164" s="214"/>
      <c r="C164" s="215"/>
      <c r="D164" s="215"/>
      <c r="E164" s="215"/>
      <c r="F164" s="215"/>
      <c r="L164" s="215"/>
      <c r="M164" s="215"/>
    </row>
    <row r="165" spans="2:13" x14ac:dyDescent="0.25">
      <c r="B165" s="214"/>
      <c r="C165" s="215"/>
      <c r="D165" s="215"/>
      <c r="E165" s="215"/>
      <c r="F165" s="215"/>
      <c r="L165" s="215"/>
      <c r="M165" s="215"/>
    </row>
  </sheetData>
  <mergeCells count="11">
    <mergeCell ref="V29:Y29"/>
    <mergeCell ref="N89:T89"/>
    <mergeCell ref="P90:T90"/>
    <mergeCell ref="B123:B124"/>
    <mergeCell ref="B134:B135"/>
    <mergeCell ref="P67:T67"/>
    <mergeCell ref="B2:C3"/>
    <mergeCell ref="E3:F3"/>
    <mergeCell ref="L29:O29"/>
    <mergeCell ref="Q29:T29"/>
    <mergeCell ref="B148:B149"/>
  </mergeCells>
  <pageMargins left="0.3" right="0.3" top="0.3" bottom="0.3" header="0" footer="0"/>
  <pageSetup paperSize="9" scale="88" fitToHeight="0"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2A84F-74AF-47AF-82B2-E9CAAC98FB3B}">
  <sheetPr>
    <tabColor theme="3" tint="0.39997558519241921"/>
    <pageSetUpPr fitToPage="1"/>
  </sheetPr>
  <dimension ref="B1:EQ165"/>
  <sheetViews>
    <sheetView showGridLines="0" zoomScale="115" zoomScaleNormal="115" workbookViewId="0">
      <selection activeCell="G12" sqref="G12"/>
    </sheetView>
  </sheetViews>
  <sheetFormatPr defaultColWidth="13.5" defaultRowHeight="11.55" outlineLevelRow="1" x14ac:dyDescent="0.25"/>
  <cols>
    <col min="1" max="1" width="3.375" style="15" customWidth="1"/>
    <col min="2" max="2" width="49" style="15" customWidth="1"/>
    <col min="3" max="4" width="26.625" style="15" customWidth="1"/>
    <col min="5" max="5" width="27.375" style="15" customWidth="1"/>
    <col min="6" max="11" width="26.625" style="15" customWidth="1"/>
    <col min="12" max="12" width="14.25" style="114" customWidth="1"/>
    <col min="13" max="13" width="0.125" style="114" customWidth="1"/>
    <col min="14" max="14" width="15.125" style="15" customWidth="1"/>
    <col min="15" max="15" width="13.625" style="15" customWidth="1"/>
    <col min="16" max="16" width="3.25" style="15" customWidth="1"/>
    <col min="17" max="17" width="11.875" style="15" customWidth="1"/>
    <col min="18" max="18" width="10.5" style="15" customWidth="1"/>
    <col min="19" max="19" width="11.625" style="15" customWidth="1"/>
    <col min="20" max="20" width="8.875" style="15" customWidth="1"/>
    <col min="21" max="21" width="3.125" style="15" customWidth="1"/>
    <col min="22" max="24" width="13.5" style="15" customWidth="1"/>
    <col min="25" max="25" width="10" style="15" customWidth="1"/>
    <col min="26" max="28" width="13.5" style="15" customWidth="1"/>
    <col min="29" max="16384" width="13.5" style="15"/>
  </cols>
  <sheetData>
    <row r="1" spans="2:147" s="4" customFormat="1" ht="45" customHeight="1" x14ac:dyDescent="0.25">
      <c r="B1" s="1" t="s">
        <v>0</v>
      </c>
      <c r="C1" s="2"/>
      <c r="D1" s="2"/>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row>
    <row r="2" spans="2:147" s="5" customFormat="1" ht="25.15" customHeight="1" x14ac:dyDescent="0.25">
      <c r="B2" s="220" t="s">
        <v>1</v>
      </c>
      <c r="C2" s="221"/>
      <c r="D2" s="6"/>
      <c r="F2" s="7"/>
      <c r="G2" s="7"/>
      <c r="H2" s="7"/>
      <c r="I2" s="7"/>
    </row>
    <row r="3" spans="2:147" s="5" customFormat="1" ht="45" customHeight="1" x14ac:dyDescent="0.25">
      <c r="B3" s="222"/>
      <c r="C3" s="222"/>
      <c r="D3" s="8"/>
      <c r="E3" s="223" t="s">
        <v>2</v>
      </c>
      <c r="F3" s="222"/>
      <c r="G3" s="7"/>
      <c r="H3" s="7"/>
      <c r="I3" s="7"/>
    </row>
    <row r="4" spans="2:147" s="5" customFormat="1" ht="27.2" customHeight="1" x14ac:dyDescent="0.25">
      <c r="B4" s="9" t="s">
        <v>3</v>
      </c>
      <c r="C4" s="10" t="s">
        <v>93</v>
      </c>
      <c r="D4" s="11"/>
      <c r="E4" s="9" t="s">
        <v>4</v>
      </c>
      <c r="F4" s="10" t="e" vm="1">
        <v>#VALUE!</v>
      </c>
      <c r="G4" s="7"/>
      <c r="H4" s="7"/>
      <c r="I4" s="7"/>
    </row>
    <row r="5" spans="2:147" s="13" customFormat="1" ht="25.15" customHeight="1" x14ac:dyDescent="0.25">
      <c r="B5" s="9" t="s">
        <v>5</v>
      </c>
      <c r="C5" s="10">
        <v>2024</v>
      </c>
      <c r="D5" s="11"/>
      <c r="E5" s="9" t="s">
        <v>6</v>
      </c>
      <c r="F5" s="12">
        <v>0.05</v>
      </c>
    </row>
    <row r="6" spans="2:147" s="13" customFormat="1" ht="25.15" customHeight="1" thickBot="1" x14ac:dyDescent="0.3">
      <c r="B6" s="14" t="s">
        <v>7</v>
      </c>
      <c r="C6" s="12">
        <v>0.2409</v>
      </c>
      <c r="E6" s="9" t="s">
        <v>8</v>
      </c>
      <c r="F6" s="12">
        <v>0.02</v>
      </c>
    </row>
    <row r="7" spans="2:147" ht="14.95" customHeight="1" x14ac:dyDescent="0.25">
      <c r="D7" s="16"/>
      <c r="L7" s="15"/>
      <c r="M7" s="17"/>
    </row>
    <row r="8" spans="2:147" s="5" customFormat="1" ht="25.15" customHeight="1" x14ac:dyDescent="0.25">
      <c r="B8" s="18" t="s">
        <v>9</v>
      </c>
      <c r="C8" s="7"/>
      <c r="D8" s="7"/>
      <c r="E8" s="7"/>
      <c r="F8" s="7"/>
      <c r="G8" s="7"/>
      <c r="H8" s="7"/>
      <c r="I8" s="7"/>
    </row>
    <row r="9" spans="2:147" s="26" customFormat="1" ht="18" customHeight="1" x14ac:dyDescent="0.25">
      <c r="B9" s="15"/>
      <c r="C9" s="19" t="s">
        <v>10</v>
      </c>
      <c r="D9" s="19"/>
      <c r="E9" s="19"/>
      <c r="F9" s="20"/>
      <c r="G9" s="21" t="s">
        <v>11</v>
      </c>
      <c r="H9" s="22"/>
      <c r="I9" s="22"/>
      <c r="J9" s="23"/>
      <c r="K9" s="24"/>
      <c r="L9" s="25" t="s">
        <v>12</v>
      </c>
      <c r="M9" s="25" t="s">
        <v>12</v>
      </c>
    </row>
    <row r="10" spans="2:147" s="26" customFormat="1" ht="18" customHeight="1" x14ac:dyDescent="0.25">
      <c r="B10" s="15"/>
      <c r="C10" s="27">
        <f>D10-1</f>
        <v>2021</v>
      </c>
      <c r="D10" s="27">
        <f>E10-1</f>
        <v>2022</v>
      </c>
      <c r="E10" s="27">
        <f>F10-1</f>
        <v>2023</v>
      </c>
      <c r="F10" s="28">
        <f>AAPL_DCF!C5</f>
        <v>2024</v>
      </c>
      <c r="G10" s="29">
        <f>F10+1</f>
        <v>2025</v>
      </c>
      <c r="H10" s="29">
        <f>G10+1</f>
        <v>2026</v>
      </c>
      <c r="I10" s="29">
        <f>H10+1</f>
        <v>2027</v>
      </c>
      <c r="J10" s="29">
        <f>I10+1</f>
        <v>2028</v>
      </c>
      <c r="K10" s="30">
        <f>J10+1</f>
        <v>2029</v>
      </c>
      <c r="L10" s="31" t="str">
        <f>C10&amp;"-"&amp;F10&amp;"A"</f>
        <v>2021-2024A</v>
      </c>
      <c r="M10" s="31" t="str">
        <f>G10&amp;"-"&amp;K10&amp;"E"</f>
        <v>2025-2029E</v>
      </c>
    </row>
    <row r="11" spans="2:147" s="26" customFormat="1" ht="18" customHeight="1" x14ac:dyDescent="0.25">
      <c r="B11" s="32" t="s">
        <v>13</v>
      </c>
      <c r="C11" s="33">
        <v>363172000000</v>
      </c>
      <c r="D11" s="33">
        <v>391397000000</v>
      </c>
      <c r="E11" s="33">
        <v>379352000000</v>
      </c>
      <c r="F11" s="34">
        <v>391035000000</v>
      </c>
      <c r="G11" s="35">
        <f>F11*(1+G12)</f>
        <v>406230705166.58923</v>
      </c>
      <c r="H11" s="35">
        <f>G11*(1+H12)</f>
        <v>417954611689.99237</v>
      </c>
      <c r="I11" s="35">
        <f>H11*(1+I12)</f>
        <v>425837326589.20465</v>
      </c>
      <c r="J11" s="35">
        <f>I11*(1+J12)</f>
        <v>429610337940.34668</v>
      </c>
      <c r="K11" s="36">
        <f>J11*(1+K12)</f>
        <v>429120675613.44531</v>
      </c>
      <c r="L11" s="37">
        <f>(F11/C11)^(1/3)-1</f>
        <v>2.494625076131296E-2</v>
      </c>
      <c r="M11" s="37">
        <f>(K11/G11)^(1/4)-1</f>
        <v>1.3798567689740304E-2</v>
      </c>
    </row>
    <row r="12" spans="2:147" s="26" customFormat="1" ht="18" customHeight="1" x14ac:dyDescent="0.25">
      <c r="B12" s="38" t="s">
        <v>14</v>
      </c>
      <c r="C12" s="39">
        <v>7.7700000000000005E-2</v>
      </c>
      <c r="D12" s="39">
        <f>(D11/C11)-1</f>
        <v>7.7717995880739688E-2</v>
      </c>
      <c r="E12" s="39">
        <f>(E11/D11)-1</f>
        <v>-3.0774379977363098E-2</v>
      </c>
      <c r="F12" s="40">
        <f>(F11/E11)-1</f>
        <v>3.0797254265167995E-2</v>
      </c>
      <c r="G12" s="41">
        <f>AVERAGE(C12:F12)</f>
        <v>3.8860217542136144E-2</v>
      </c>
      <c r="H12" s="42">
        <f>G12-1%</f>
        <v>2.8860217542136142E-2</v>
      </c>
      <c r="I12" s="42">
        <f>H12-1%</f>
        <v>1.886021754213614E-2</v>
      </c>
      <c r="J12" s="42">
        <f>I12-1%</f>
        <v>8.8602175421361399E-3</v>
      </c>
      <c r="K12" s="43">
        <f>J12-1%</f>
        <v>-1.1397824578638603E-3</v>
      </c>
      <c r="L12" s="37"/>
      <c r="M12" s="37"/>
    </row>
    <row r="13" spans="2:147" s="26" customFormat="1" ht="18" customHeight="1" x14ac:dyDescent="0.25">
      <c r="B13" s="44" t="s">
        <v>15</v>
      </c>
      <c r="C13" s="45">
        <v>234954000000</v>
      </c>
      <c r="D13" s="45">
        <v>248640000000</v>
      </c>
      <c r="E13" s="45">
        <v>239069000000</v>
      </c>
      <c r="F13" s="46">
        <v>236449000000</v>
      </c>
      <c r="G13" s="47">
        <f>-(G11-G14)</f>
        <v>-255629908468.0574</v>
      </c>
      <c r="H13" s="47">
        <f>-(H11-H14)</f>
        <v>-263007443236.72189</v>
      </c>
      <c r="I13" s="47">
        <f>-(I11-I14)</f>
        <v>-267967820831.36749</v>
      </c>
      <c r="J13" s="47">
        <f>-(J11-J14)</f>
        <v>-270342074018.22559</v>
      </c>
      <c r="K13" s="48">
        <f>-(K11-K14)</f>
        <v>-270033942864.63705</v>
      </c>
      <c r="L13" s="49">
        <f>IFERROR((F13/C13)^(1/3)-1,"N/A")</f>
        <v>2.1164998151335102E-3</v>
      </c>
      <c r="M13" s="49">
        <f>IFERROR((K13/G13)^(1/4)-1,"N/A")</f>
        <v>1.3798567689740304E-2</v>
      </c>
    </row>
    <row r="14" spans="2:147" s="26" customFormat="1" ht="18" customHeight="1" x14ac:dyDescent="0.25">
      <c r="B14" s="50" t="s">
        <v>16</v>
      </c>
      <c r="C14" s="51">
        <f>C11-C13</f>
        <v>128218000000</v>
      </c>
      <c r="D14" s="51">
        <f>D11-D13</f>
        <v>142757000000</v>
      </c>
      <c r="E14" s="51">
        <f>E11-E13</f>
        <v>140283000000</v>
      </c>
      <c r="F14" s="51">
        <f>F11-F13</f>
        <v>154586000000</v>
      </c>
      <c r="G14" s="52">
        <f>G15*G11</f>
        <v>150600796698.53183</v>
      </c>
      <c r="H14" s="52">
        <f>H15*H11</f>
        <v>154947168453.27048</v>
      </c>
      <c r="I14" s="52">
        <f>I15*I11</f>
        <v>157869505757.83716</v>
      </c>
      <c r="J14" s="52">
        <f>J15*J11</f>
        <v>159268263922.12109</v>
      </c>
      <c r="K14" s="53">
        <f>K15*K11</f>
        <v>159086732748.80826</v>
      </c>
      <c r="L14" s="54">
        <f>IFERROR((F14/C14)^(1/3)-1,"N/A")</f>
        <v>6.4323669350506707E-2</v>
      </c>
      <c r="M14" s="54">
        <f>IFERROR((K14/G14)^(1/4)-1,"N/A")</f>
        <v>1.3798567689740304E-2</v>
      </c>
    </row>
    <row r="15" spans="2:147" s="26" customFormat="1" ht="18" customHeight="1" x14ac:dyDescent="0.25">
      <c r="B15" s="55" t="s">
        <v>17</v>
      </c>
      <c r="C15" s="37">
        <f>C14/C11</f>
        <v>0.35305034529093654</v>
      </c>
      <c r="D15" s="37">
        <f>D14/D11</f>
        <v>0.36473708280850392</v>
      </c>
      <c r="E15" s="37">
        <f>E14/E11</f>
        <v>0.36979638963284761</v>
      </c>
      <c r="F15" s="56">
        <f>F14/F11</f>
        <v>0.39532522664211645</v>
      </c>
      <c r="G15" s="57">
        <f>AVERAGE(C15:F15)</f>
        <v>0.3707272610936011</v>
      </c>
      <c r="H15" s="42">
        <f>G15</f>
        <v>0.3707272610936011</v>
      </c>
      <c r="I15" s="42">
        <f>H15</f>
        <v>0.3707272610936011</v>
      </c>
      <c r="J15" s="42">
        <f>I15</f>
        <v>0.3707272610936011</v>
      </c>
      <c r="K15" s="43">
        <f>J15</f>
        <v>0.3707272610936011</v>
      </c>
      <c r="L15" s="37"/>
      <c r="M15" s="37"/>
    </row>
    <row r="16" spans="2:147" s="26" customFormat="1" ht="18" customHeight="1" x14ac:dyDescent="0.25">
      <c r="B16" s="44" t="s">
        <v>18</v>
      </c>
      <c r="C16" s="33">
        <v>43887000000</v>
      </c>
      <c r="D16" s="33">
        <v>51345000000</v>
      </c>
      <c r="E16" s="33">
        <v>54847000000</v>
      </c>
      <c r="F16" s="34">
        <v>57467000000</v>
      </c>
      <c r="G16" s="35">
        <f>F16*(1+G17)</f>
        <v>62943814943.944115</v>
      </c>
      <c r="H16" s="35">
        <f>G16*(1+H17)</f>
        <v>68642651580.590431</v>
      </c>
      <c r="I16" s="35">
        <f>H16*(1+I17)</f>
        <v>74546712132.23912</v>
      </c>
      <c r="J16" s="35">
        <f>I16*(1+J17)</f>
        <v>80637996160.60173</v>
      </c>
      <c r="K16" s="36">
        <f>J16*(1+K17)</f>
        <v>86897554467.611557</v>
      </c>
      <c r="L16" s="49">
        <f>IFERROR((F16/C16)^(1/3)-1,"N/A")</f>
        <v>9.4025749177596207E-2</v>
      </c>
      <c r="M16" s="49">
        <f>IFERROR((K16/G16)^(1/4)-1,"N/A")</f>
        <v>8.3960915919192747E-2</v>
      </c>
    </row>
    <row r="17" spans="2:27" s="26" customFormat="1" ht="18" customHeight="1" x14ac:dyDescent="0.25">
      <c r="B17" s="55" t="s">
        <v>14</v>
      </c>
      <c r="C17" s="37"/>
      <c r="D17" s="37">
        <f>(D16/C16)-1</f>
        <v>0.16993642764372141</v>
      </c>
      <c r="E17" s="37">
        <f>(E16/D16)-1</f>
        <v>6.8205278021228999E-2</v>
      </c>
      <c r="F17" s="56">
        <f>(F16/E16)-1</f>
        <v>4.7769249001768488E-2</v>
      </c>
      <c r="G17" s="57">
        <f>AVERAGE(D17:F17)</f>
        <v>9.5303651555572966E-2</v>
      </c>
      <c r="H17" s="57">
        <f>G17*0.95</f>
        <v>9.0538468977794315E-2</v>
      </c>
      <c r="I17" s="57">
        <f>H17*0.95</f>
        <v>8.6011545528904595E-2</v>
      </c>
      <c r="J17" s="57">
        <f>I17*0.95</f>
        <v>8.1710968252459368E-2</v>
      </c>
      <c r="K17" s="58">
        <f>J17*0.95</f>
        <v>7.7625419839836396E-2</v>
      </c>
      <c r="L17" s="37"/>
      <c r="M17" s="37"/>
    </row>
    <row r="18" spans="2:27" s="61" customFormat="1" ht="18" customHeight="1" x14ac:dyDescent="0.25">
      <c r="B18" s="38" t="s">
        <v>19</v>
      </c>
      <c r="C18" s="37">
        <f t="shared" ref="C18:K18" si="0">-C16/C11</f>
        <v>-0.12084356723535955</v>
      </c>
      <c r="D18" s="37">
        <f t="shared" si="0"/>
        <v>-0.13118393855854796</v>
      </c>
      <c r="E18" s="37">
        <f t="shared" si="0"/>
        <v>-0.14458075876758261</v>
      </c>
      <c r="F18" s="56">
        <f t="shared" si="0"/>
        <v>-0.14696126945158361</v>
      </c>
      <c r="G18" s="59">
        <f t="shared" si="0"/>
        <v>-0.15494598055588088</v>
      </c>
      <c r="H18" s="59">
        <f t="shared" si="0"/>
        <v>-0.16423470314883004</v>
      </c>
      <c r="I18" s="59">
        <f t="shared" si="0"/>
        <v>-0.17505913051194921</v>
      </c>
      <c r="J18" s="59">
        <f t="shared" si="0"/>
        <v>-0.18770031593559716</v>
      </c>
      <c r="K18" s="60">
        <f t="shared" si="0"/>
        <v>-0.20250143935243389</v>
      </c>
      <c r="L18" s="37"/>
      <c r="M18" s="37"/>
    </row>
    <row r="19" spans="2:27" s="26" customFormat="1" ht="18" customHeight="1" x14ac:dyDescent="0.25">
      <c r="B19" s="62" t="s">
        <v>20</v>
      </c>
      <c r="C19" s="63">
        <f t="shared" ref="C19:K19" si="1">C16+C13</f>
        <v>278841000000</v>
      </c>
      <c r="D19" s="63">
        <f t="shared" si="1"/>
        <v>299985000000</v>
      </c>
      <c r="E19" s="63">
        <f t="shared" si="1"/>
        <v>293916000000</v>
      </c>
      <c r="F19" s="64">
        <f t="shared" si="1"/>
        <v>293916000000</v>
      </c>
      <c r="G19" s="65">
        <f t="shared" si="1"/>
        <v>-192686093524.11328</v>
      </c>
      <c r="H19" s="65">
        <f t="shared" si="1"/>
        <v>-194364791656.13147</v>
      </c>
      <c r="I19" s="65">
        <f t="shared" si="1"/>
        <v>-193421108699.12836</v>
      </c>
      <c r="J19" s="65">
        <f t="shared" si="1"/>
        <v>-189704077857.62384</v>
      </c>
      <c r="K19" s="66">
        <f t="shared" si="1"/>
        <v>-183136388397.02551</v>
      </c>
      <c r="L19" s="67">
        <f>(F19/C19)^(1/3)-1</f>
        <v>1.7705681388462402E-2</v>
      </c>
      <c r="M19" s="67">
        <f>(K19/G19)^(1/4)-1</f>
        <v>-1.2627406559355348E-2</v>
      </c>
    </row>
    <row r="20" spans="2:27" s="26" customFormat="1" ht="18" customHeight="1" x14ac:dyDescent="0.25">
      <c r="B20" s="55" t="s">
        <v>14</v>
      </c>
      <c r="C20" s="37"/>
      <c r="D20" s="37">
        <f t="shared" ref="D20:K20" si="2">(D19/C19)-1</f>
        <v>7.5828160134270073E-2</v>
      </c>
      <c r="E20" s="37">
        <f t="shared" si="2"/>
        <v>-2.0231011550577493E-2</v>
      </c>
      <c r="F20" s="56">
        <f t="shared" si="2"/>
        <v>0</v>
      </c>
      <c r="G20" s="59">
        <f t="shared" si="2"/>
        <v>-1.655582185128109</v>
      </c>
      <c r="H20" s="59">
        <f t="shared" si="2"/>
        <v>8.7120876307977824E-3</v>
      </c>
      <c r="I20" s="59">
        <f t="shared" si="2"/>
        <v>-4.8552155406451636E-3</v>
      </c>
      <c r="J20" s="59">
        <f t="shared" si="2"/>
        <v>-1.9217296739242995E-2</v>
      </c>
      <c r="K20" s="60">
        <f t="shared" si="2"/>
        <v>-3.4620707866530376E-2</v>
      </c>
      <c r="L20" s="37"/>
      <c r="M20" s="37"/>
    </row>
    <row r="21" spans="2:27" s="26" customFormat="1" ht="18" customHeight="1" x14ac:dyDescent="0.25">
      <c r="B21" s="62" t="s">
        <v>21</v>
      </c>
      <c r="C21" s="68">
        <v>111852000000</v>
      </c>
      <c r="D21" s="68">
        <v>122034000000</v>
      </c>
      <c r="E21" s="68">
        <v>117669000000</v>
      </c>
      <c r="F21" s="69">
        <v>123216000000</v>
      </c>
      <c r="G21" s="59"/>
      <c r="H21" s="59"/>
      <c r="I21" s="59"/>
      <c r="J21" s="59"/>
      <c r="K21" s="60"/>
      <c r="L21" s="37"/>
      <c r="M21" s="37"/>
    </row>
    <row r="22" spans="2:27" s="26" customFormat="1" ht="18" customHeight="1" x14ac:dyDescent="0.25">
      <c r="B22" s="62" t="s">
        <v>22</v>
      </c>
      <c r="C22" s="69">
        <v>120233000000</v>
      </c>
      <c r="D22" s="69">
        <v>130541000000</v>
      </c>
      <c r="E22" s="69">
        <v>125820000000</v>
      </c>
      <c r="F22" s="69">
        <v>134661000000</v>
      </c>
      <c r="G22" s="70">
        <f>G19+G11</f>
        <v>213544611642.47595</v>
      </c>
      <c r="H22" s="70">
        <f>H19+H11</f>
        <v>223589820033.8609</v>
      </c>
      <c r="I22" s="70">
        <f>I19+I11</f>
        <v>232416217890.07629</v>
      </c>
      <c r="J22" s="70">
        <f>J19+J11</f>
        <v>239906260082.72284</v>
      </c>
      <c r="K22" s="71">
        <f>K19+K11</f>
        <v>245984287216.4198</v>
      </c>
      <c r="L22" s="67">
        <f>(F22/C22)^(1/3)-1</f>
        <v>3.8498923196233381E-2</v>
      </c>
      <c r="M22" s="67">
        <f>(K22/G22)^(1/4)-1</f>
        <v>3.5987910149829272E-2</v>
      </c>
    </row>
    <row r="23" spans="2:27" s="26" customFormat="1" ht="18" customHeight="1" x14ac:dyDescent="0.25">
      <c r="B23" s="55" t="s">
        <v>17</v>
      </c>
      <c r="C23" s="37">
        <f t="shared" ref="C23:K23" si="3">C22/C11</f>
        <v>0.33106351811262985</v>
      </c>
      <c r="D23" s="37">
        <f t="shared" si="3"/>
        <v>0.33352580627853562</v>
      </c>
      <c r="E23" s="37">
        <f t="shared" si="3"/>
        <v>0.33167084923764734</v>
      </c>
      <c r="F23" s="56">
        <f t="shared" si="3"/>
        <v>0.34437070850435381</v>
      </c>
      <c r="G23" s="59">
        <f t="shared" si="3"/>
        <v>0.52567324164948204</v>
      </c>
      <c r="H23" s="59">
        <f t="shared" si="3"/>
        <v>0.53496196424243114</v>
      </c>
      <c r="I23" s="59">
        <f t="shared" si="3"/>
        <v>0.54578639160555031</v>
      </c>
      <c r="J23" s="59">
        <f t="shared" si="3"/>
        <v>0.55842757702919821</v>
      </c>
      <c r="K23" s="60">
        <f t="shared" si="3"/>
        <v>0.57322870044603502</v>
      </c>
      <c r="L23" s="37"/>
      <c r="M23" s="37"/>
    </row>
    <row r="24" spans="2:27" s="26" customFormat="1" ht="18" customHeight="1" x14ac:dyDescent="0.25">
      <c r="B24" s="32" t="s">
        <v>23</v>
      </c>
      <c r="C24" s="33">
        <v>11284000000</v>
      </c>
      <c r="D24" s="33">
        <v>11104000000</v>
      </c>
      <c r="E24" s="33">
        <v>11519000000</v>
      </c>
      <c r="F24" s="34">
        <v>11445000000</v>
      </c>
      <c r="G24" s="72">
        <f>-G11*G25</f>
        <v>12092905824.685507</v>
      </c>
      <c r="H24" s="72">
        <f>-H11*H25</f>
        <v>12441909717.502497</v>
      </c>
      <c r="I24" s="72">
        <f>-I11*I25</f>
        <v>12676566841.414211</v>
      </c>
      <c r="J24" s="72">
        <f>-J11*J25</f>
        <v>12788883981.31657</v>
      </c>
      <c r="K24" s="73">
        <f>-K11*K25</f>
        <v>12774307435.699011</v>
      </c>
      <c r="L24" s="49">
        <f>IFERROR((F24/C24)^(1/3)-1,"N/A")</f>
        <v>4.733554796274797E-3</v>
      </c>
      <c r="M24" s="49">
        <f>IFERROR((K24/G24)^(1/4)-1,"N/A")</f>
        <v>1.3798567689740304E-2</v>
      </c>
    </row>
    <row r="25" spans="2:27" s="61" customFormat="1" ht="18" customHeight="1" x14ac:dyDescent="0.25">
      <c r="B25" s="38" t="s">
        <v>19</v>
      </c>
      <c r="C25" s="37">
        <f>-(C24/C11)</f>
        <v>-3.1070677254854448E-2</v>
      </c>
      <c r="D25" s="37">
        <f>-(D24/D11)</f>
        <v>-2.8370171462734767E-2</v>
      </c>
      <c r="E25" s="37">
        <f>-(E24/E11)</f>
        <v>-3.0364938104979016E-2</v>
      </c>
      <c r="F25" s="56">
        <f>-(F24/F11)</f>
        <v>-2.9268479803598143E-2</v>
      </c>
      <c r="G25" s="57">
        <f>AVERAGE(C25:F25)</f>
        <v>-2.9768566656541595E-2</v>
      </c>
      <c r="H25" s="57">
        <f>G25</f>
        <v>-2.9768566656541595E-2</v>
      </c>
      <c r="I25" s="57">
        <f>H25</f>
        <v>-2.9768566656541595E-2</v>
      </c>
      <c r="J25" s="57">
        <f>I25</f>
        <v>-2.9768566656541595E-2</v>
      </c>
      <c r="K25" s="58">
        <f>J25</f>
        <v>-2.9768566656541595E-2</v>
      </c>
      <c r="L25" s="37"/>
      <c r="M25" s="37"/>
    </row>
    <row r="26" spans="2:27" ht="14.95" customHeight="1" x14ac:dyDescent="0.25">
      <c r="D26" s="16"/>
      <c r="L26" s="15"/>
      <c r="M26" s="17"/>
    </row>
    <row r="27" spans="2:27" s="5" customFormat="1" ht="25.15" customHeight="1" outlineLevel="1" x14ac:dyDescent="0.25">
      <c r="B27" s="74" t="s">
        <v>24</v>
      </c>
      <c r="C27" s="7"/>
      <c r="D27" s="7"/>
      <c r="E27" s="7"/>
      <c r="F27" s="7"/>
      <c r="G27" s="7"/>
      <c r="H27" s="7"/>
      <c r="I27" s="7"/>
      <c r="J27" s="11"/>
      <c r="K27" s="11"/>
      <c r="L27" s="11"/>
      <c r="M27" s="11"/>
      <c r="N27" s="11"/>
      <c r="O27" s="11"/>
      <c r="P27" s="11"/>
      <c r="Q27" s="11"/>
      <c r="R27" s="11"/>
      <c r="S27" s="11"/>
      <c r="T27" s="11"/>
      <c r="U27" s="11"/>
      <c r="V27" s="11"/>
      <c r="W27" s="11"/>
      <c r="X27" s="11"/>
      <c r="Y27" s="11"/>
      <c r="Z27" s="11"/>
      <c r="AA27" s="11"/>
    </row>
    <row r="28" spans="2:27" s="5" customFormat="1" ht="25.15" customHeight="1" outlineLevel="1" x14ac:dyDescent="0.25">
      <c r="B28" s="75" t="s">
        <v>25</v>
      </c>
      <c r="C28" s="7"/>
      <c r="D28" s="7"/>
      <c r="E28" s="7"/>
      <c r="F28" s="7"/>
      <c r="G28" s="7"/>
      <c r="H28" s="7"/>
      <c r="I28" s="7"/>
      <c r="J28" s="11"/>
      <c r="K28" s="11"/>
      <c r="L28" s="11"/>
      <c r="M28" s="11"/>
      <c r="N28" s="11"/>
      <c r="O28" s="11"/>
      <c r="P28" s="11"/>
      <c r="Q28" s="11"/>
      <c r="R28" s="11"/>
      <c r="S28" s="11"/>
      <c r="T28" s="11"/>
      <c r="U28" s="11"/>
      <c r="V28" s="11"/>
      <c r="W28" s="11"/>
      <c r="X28" s="11"/>
      <c r="Y28" s="11"/>
      <c r="Z28" s="11"/>
      <c r="AA28" s="11"/>
    </row>
    <row r="29" spans="2:27" s="5" customFormat="1" ht="18" customHeight="1" outlineLevel="1" x14ac:dyDescent="0.25">
      <c r="B29" s="76"/>
      <c r="C29" s="7"/>
      <c r="D29" s="7"/>
      <c r="E29" s="7"/>
      <c r="F29" s="7"/>
      <c r="G29" s="7"/>
      <c r="H29" s="7"/>
      <c r="I29" s="7"/>
      <c r="J29" s="11"/>
      <c r="K29" s="11"/>
      <c r="L29" s="224"/>
      <c r="M29" s="221"/>
      <c r="N29" s="221"/>
      <c r="O29" s="221"/>
      <c r="P29" s="11"/>
      <c r="Q29" s="224"/>
      <c r="R29" s="221"/>
      <c r="S29" s="221"/>
      <c r="T29" s="221"/>
      <c r="U29" s="11"/>
      <c r="V29" s="224"/>
      <c r="W29" s="221"/>
      <c r="X29" s="221"/>
      <c r="Y29" s="221"/>
      <c r="Z29" s="11"/>
      <c r="AA29" s="11"/>
    </row>
    <row r="30" spans="2:27" s="79" customFormat="1" ht="45" customHeight="1" outlineLevel="1" x14ac:dyDescent="0.25">
      <c r="B30" s="77" t="s">
        <v>26</v>
      </c>
      <c r="C30" s="78" t="s">
        <v>27</v>
      </c>
      <c r="D30" s="78" t="s">
        <v>28</v>
      </c>
      <c r="E30" s="78" t="s">
        <v>29</v>
      </c>
      <c r="F30" s="78" t="s">
        <v>30</v>
      </c>
      <c r="G30" s="78" t="s">
        <v>31</v>
      </c>
      <c r="H30" s="78" t="s">
        <v>32</v>
      </c>
      <c r="I30" s="78" t="s">
        <v>33</v>
      </c>
      <c r="J30" s="11"/>
      <c r="K30" s="11"/>
      <c r="L30" s="11"/>
      <c r="M30" s="11"/>
      <c r="N30" s="11"/>
      <c r="O30" s="11"/>
      <c r="P30" s="11"/>
      <c r="Q30" s="11"/>
      <c r="R30" s="11"/>
      <c r="S30" s="11"/>
      <c r="T30" s="11"/>
      <c r="U30" s="11"/>
      <c r="V30" s="11"/>
      <c r="W30" s="11"/>
      <c r="X30" s="11"/>
      <c r="Y30" s="11"/>
      <c r="Z30" s="11"/>
      <c r="AA30" s="11"/>
    </row>
    <row r="31" spans="2:27" s="79" customFormat="1" ht="18" customHeight="1" outlineLevel="1" x14ac:dyDescent="0.25">
      <c r="B31" s="80" t="s">
        <v>34</v>
      </c>
      <c r="C31" s="81">
        <v>1</v>
      </c>
      <c r="D31" s="82">
        <v>4.8812E+16</v>
      </c>
      <c r="E31" s="82">
        <v>2.675117703E+18</v>
      </c>
      <c r="F31" s="83">
        <f>D31/E31</f>
        <v>1.8246673761404958E-2</v>
      </c>
      <c r="G31" s="83">
        <f>E31/(D31+E31)</f>
        <v>0.98208030113763911</v>
      </c>
      <c r="H31" s="84">
        <v>0.18229999999999999</v>
      </c>
      <c r="I31" s="85">
        <f>C31/(1+(F31)*(1-H31))</f>
        <v>0.98529903770846261</v>
      </c>
      <c r="J31" s="11"/>
      <c r="K31" s="11"/>
      <c r="L31" s="11"/>
      <c r="M31" s="11"/>
      <c r="N31" s="11"/>
      <c r="O31" s="11"/>
      <c r="P31" s="11"/>
      <c r="Q31" s="11"/>
      <c r="R31" s="11"/>
      <c r="S31" s="11"/>
      <c r="T31" s="11"/>
      <c r="U31" s="11"/>
      <c r="V31" s="11"/>
      <c r="W31" s="11"/>
      <c r="X31" s="11"/>
      <c r="Y31" s="11"/>
      <c r="Z31" s="11"/>
      <c r="AA31" s="11"/>
    </row>
    <row r="32" spans="2:27" s="79" customFormat="1" ht="18" customHeight="1" outlineLevel="1" x14ac:dyDescent="0.25">
      <c r="B32" s="86" t="s">
        <v>92</v>
      </c>
      <c r="C32" s="81">
        <v>1.0349999999999999</v>
      </c>
      <c r="D32" s="82">
        <v>1995000000000000</v>
      </c>
      <c r="E32" s="82">
        <v>1.7856805621849999E+18</v>
      </c>
      <c r="F32" s="83">
        <f>D32/E32</f>
        <v>1.1172210989175309E-3</v>
      </c>
      <c r="G32" s="83">
        <f>E32/(D32+E32)</f>
        <v>0.99888402569112622</v>
      </c>
      <c r="H32" s="84">
        <v>0.16439999999999999</v>
      </c>
      <c r="I32" s="85">
        <f>C32/(1+(F32)*(1-H32))</f>
        <v>1.0340346769787441</v>
      </c>
      <c r="J32" s="11"/>
      <c r="K32" s="11"/>
      <c r="L32" s="11"/>
      <c r="M32" s="11"/>
      <c r="N32" s="11"/>
      <c r="O32" s="11"/>
      <c r="P32" s="11"/>
      <c r="Q32" s="11"/>
      <c r="R32" s="11"/>
      <c r="S32" s="11"/>
      <c r="T32" s="11"/>
      <c r="U32" s="11"/>
      <c r="V32" s="11"/>
      <c r="W32" s="11"/>
      <c r="X32" s="11"/>
      <c r="Y32" s="11"/>
      <c r="Z32" s="11"/>
      <c r="AA32" s="11"/>
    </row>
    <row r="33" spans="2:27" s="79" customFormat="1" ht="18" customHeight="1" outlineLevel="1" x14ac:dyDescent="0.25">
      <c r="B33" s="86" t="s">
        <v>35</v>
      </c>
      <c r="C33" s="81">
        <v>1.393</v>
      </c>
      <c r="D33" s="82">
        <v>5.6832E+16</v>
      </c>
      <c r="E33" s="82">
        <v>1.826513595E+18</v>
      </c>
      <c r="F33" s="83">
        <f>D33/E33</f>
        <v>3.1115016146375851E-2</v>
      </c>
      <c r="G33" s="83">
        <f>E33/(D33+E33)</f>
        <v>0.96982391327917694</v>
      </c>
      <c r="H33" s="84">
        <v>0.13500000000000001</v>
      </c>
      <c r="I33" s="85">
        <f>C33/(1+(F33)*(1-H33))</f>
        <v>1.3564907448153518</v>
      </c>
      <c r="J33" s="11"/>
      <c r="K33" s="11"/>
      <c r="L33" s="11"/>
      <c r="M33" s="11"/>
      <c r="N33" s="11"/>
      <c r="O33" s="11"/>
      <c r="P33" s="11"/>
      <c r="Q33" s="11"/>
      <c r="R33" s="11"/>
      <c r="S33" s="11"/>
      <c r="T33" s="11"/>
      <c r="U33" s="11"/>
      <c r="V33" s="11"/>
      <c r="W33" s="11"/>
      <c r="X33" s="11"/>
      <c r="Y33" s="11"/>
      <c r="Z33" s="11"/>
      <c r="AA33" s="11"/>
    </row>
    <row r="34" spans="2:27" s="79" customFormat="1" ht="18" customHeight="1" outlineLevel="1" x14ac:dyDescent="0.25">
      <c r="B34" s="86" t="s">
        <v>94</v>
      </c>
      <c r="C34" s="81">
        <v>2.58</v>
      </c>
      <c r="D34" s="82">
        <v>-2516000000000000</v>
      </c>
      <c r="E34" s="82">
        <v>7.417938424E+17</v>
      </c>
      <c r="F34" s="83">
        <f>D34/E34</f>
        <v>-3.3917779525639265E-3</v>
      </c>
      <c r="G34" s="83">
        <f>E34/(D34+E34)</f>
        <v>1.0034033212625879</v>
      </c>
      <c r="H34" s="84">
        <v>0.20430000000000001</v>
      </c>
      <c r="I34" s="85">
        <f>C34/(1+(F34)*(1-H34))</f>
        <v>2.5869818441738759</v>
      </c>
      <c r="J34" s="11"/>
      <c r="K34" s="11"/>
      <c r="L34" s="11"/>
      <c r="M34" s="11"/>
      <c r="N34" s="11"/>
      <c r="O34" s="11"/>
      <c r="P34" s="11"/>
      <c r="Q34" s="11"/>
      <c r="R34" s="11"/>
      <c r="S34" s="11"/>
      <c r="T34" s="11"/>
      <c r="U34" s="11"/>
      <c r="V34" s="11"/>
      <c r="W34" s="11"/>
      <c r="X34" s="11"/>
      <c r="Y34" s="11"/>
      <c r="Z34" s="11"/>
      <c r="AA34" s="11"/>
    </row>
    <row r="35" spans="2:27" s="79" customFormat="1" ht="18" customHeight="1" outlineLevel="1" x14ac:dyDescent="0.25">
      <c r="B35" s="87" t="s">
        <v>95</v>
      </c>
      <c r="C35" s="81">
        <v>1.958</v>
      </c>
      <c r="D35" s="82">
        <v>1681000000000000</v>
      </c>
      <c r="E35" s="82">
        <v>2.427068E+18</v>
      </c>
      <c r="F35" s="83">
        <f>D35/E35</f>
        <v>6.9260523396954675E-4</v>
      </c>
      <c r="G35" s="83">
        <f>E35/(D35+E35)</f>
        <v>0.9993078741360264</v>
      </c>
      <c r="H35" s="84">
        <v>0.1326</v>
      </c>
      <c r="I35" s="85">
        <f>C35/(1+(F35)*(1-H35))</f>
        <v>1.9568244068589975</v>
      </c>
      <c r="J35" s="11"/>
      <c r="K35" s="11"/>
      <c r="L35" s="11"/>
      <c r="M35" s="11"/>
      <c r="N35" s="11"/>
      <c r="O35" s="11"/>
      <c r="P35" s="11"/>
      <c r="Q35" s="11"/>
      <c r="R35" s="11"/>
      <c r="S35" s="11"/>
      <c r="T35" s="11"/>
      <c r="U35" s="11"/>
      <c r="V35" s="11"/>
      <c r="W35" s="11"/>
      <c r="X35" s="11"/>
      <c r="Y35" s="11"/>
      <c r="Z35" s="11"/>
      <c r="AA35" s="11"/>
    </row>
    <row r="36" spans="2:27" s="79" customFormat="1" ht="18" customHeight="1" outlineLevel="1" x14ac:dyDescent="0.25">
      <c r="B36" s="88" t="s">
        <v>36</v>
      </c>
      <c r="C36" s="89">
        <f>MEDIAN(C31:C35)</f>
        <v>1.393</v>
      </c>
      <c r="D36" s="89"/>
      <c r="E36" s="89"/>
      <c r="F36" s="90">
        <f>MEDIAN(F31:F35)</f>
        <v>1.1172210989175309E-3</v>
      </c>
      <c r="G36" s="90">
        <f>MEDIAN(G31:G35)</f>
        <v>0.99888402569112622</v>
      </c>
      <c r="H36" s="91"/>
      <c r="I36" s="89">
        <f>MEDIAN(I31:I35)</f>
        <v>1.3564907448153518</v>
      </c>
      <c r="J36" s="11"/>
      <c r="K36" s="11"/>
      <c r="L36" s="11"/>
      <c r="M36" s="11"/>
      <c r="N36" s="11"/>
      <c r="O36" s="11"/>
      <c r="P36" s="11"/>
      <c r="Q36" s="11"/>
      <c r="R36" s="11"/>
      <c r="S36" s="11"/>
      <c r="T36" s="11"/>
      <c r="U36" s="11"/>
      <c r="V36" s="11"/>
      <c r="W36" s="11"/>
      <c r="X36" s="11"/>
      <c r="Y36" s="11"/>
      <c r="Z36" s="11"/>
      <c r="AA36" s="11"/>
    </row>
    <row r="37" spans="2:27" s="79" customFormat="1" ht="18" customHeight="1" outlineLevel="1" x14ac:dyDescent="0.25">
      <c r="B37" s="92" t="s">
        <v>37</v>
      </c>
      <c r="C37" s="93">
        <f>AVERAGE(C31:C35)</f>
        <v>1.5931999999999999</v>
      </c>
      <c r="D37" s="93"/>
      <c r="E37" s="93"/>
      <c r="F37" s="94">
        <f>AVERAGE(F31:F35)</f>
        <v>9.5559476576207898E-3</v>
      </c>
      <c r="G37" s="94">
        <f>AVERAGE(G31:G35)</f>
        <v>0.9906998871013114</v>
      </c>
      <c r="H37" s="95"/>
      <c r="I37" s="93">
        <f>AVERAGE(I31:I35)</f>
        <v>1.5839261421070863</v>
      </c>
      <c r="J37" s="11"/>
      <c r="K37" s="11"/>
      <c r="L37" s="11"/>
      <c r="M37" s="11"/>
      <c r="N37" s="11"/>
      <c r="O37" s="11"/>
      <c r="P37" s="11"/>
      <c r="Q37" s="11"/>
      <c r="R37" s="11"/>
      <c r="S37" s="11"/>
      <c r="T37" s="11"/>
      <c r="U37" s="11"/>
      <c r="V37" s="11"/>
      <c r="W37" s="11"/>
      <c r="X37" s="11"/>
      <c r="Y37" s="11"/>
      <c r="Z37" s="11"/>
      <c r="AA37" s="11"/>
    </row>
    <row r="38" spans="2:27" s="79" customFormat="1" ht="18" customHeight="1" outlineLevel="1" x14ac:dyDescent="0.25">
      <c r="B38" s="96" t="s">
        <v>38</v>
      </c>
      <c r="C38" s="97"/>
      <c r="D38" s="97"/>
      <c r="E38" s="97"/>
      <c r="F38" s="97"/>
      <c r="G38" s="97"/>
      <c r="H38" s="97"/>
      <c r="I38" s="97"/>
      <c r="J38" s="11"/>
      <c r="K38" s="11"/>
      <c r="L38" s="11"/>
      <c r="M38" s="11"/>
      <c r="N38" s="11"/>
      <c r="O38" s="11"/>
      <c r="P38" s="11"/>
      <c r="Q38" s="11"/>
      <c r="R38" s="11"/>
      <c r="S38" s="11"/>
      <c r="T38" s="11"/>
      <c r="U38" s="11"/>
      <c r="V38" s="11"/>
      <c r="W38" s="11"/>
      <c r="X38" s="11"/>
      <c r="Y38" s="11"/>
      <c r="Z38" s="11"/>
      <c r="AA38" s="11"/>
    </row>
    <row r="39" spans="2:27" s="79" customFormat="1" ht="18" customHeight="1" outlineLevel="1" x14ac:dyDescent="0.25">
      <c r="B39" s="96" t="s">
        <v>39</v>
      </c>
      <c r="C39" s="97"/>
      <c r="D39" s="97"/>
      <c r="E39" s="97"/>
      <c r="F39" s="97"/>
      <c r="G39" s="97"/>
      <c r="H39" s="97"/>
      <c r="I39" s="97"/>
      <c r="J39" s="11"/>
      <c r="K39" s="11"/>
      <c r="L39" s="11"/>
      <c r="M39" s="11"/>
      <c r="N39" s="11"/>
      <c r="O39" s="11"/>
      <c r="P39" s="11"/>
      <c r="Q39" s="11"/>
      <c r="R39" s="11"/>
      <c r="S39" s="11"/>
      <c r="T39" s="11"/>
      <c r="U39" s="11"/>
      <c r="V39" s="11"/>
      <c r="W39" s="11"/>
      <c r="X39" s="11"/>
      <c r="Y39" s="11"/>
      <c r="Z39" s="11"/>
      <c r="AA39" s="11"/>
    </row>
    <row r="40" spans="2:27" s="79" customFormat="1" ht="18" customHeight="1" outlineLevel="1" x14ac:dyDescent="0.25">
      <c r="B40" s="96" t="s">
        <v>40</v>
      </c>
      <c r="C40" s="97"/>
      <c r="D40" s="97"/>
      <c r="E40" s="97"/>
      <c r="F40" s="97"/>
      <c r="G40" s="97"/>
      <c r="H40" s="97"/>
      <c r="I40" s="97"/>
      <c r="L40" s="97"/>
      <c r="M40" s="97"/>
      <c r="N40" s="97"/>
      <c r="O40" s="97"/>
      <c r="P40" s="97"/>
      <c r="Q40" s="97"/>
      <c r="R40" s="97"/>
    </row>
    <row r="41" spans="2:27" s="79" customFormat="1" ht="18" customHeight="1" outlineLevel="1" x14ac:dyDescent="0.25">
      <c r="B41" s="96" t="s">
        <v>41</v>
      </c>
      <c r="C41" s="97"/>
      <c r="D41" s="97"/>
      <c r="E41" s="97"/>
      <c r="F41" s="97"/>
      <c r="G41" s="97"/>
      <c r="H41" s="97"/>
      <c r="I41" s="97"/>
      <c r="L41" s="97"/>
      <c r="M41" s="97"/>
      <c r="N41" s="97"/>
      <c r="O41" s="97"/>
      <c r="P41" s="97"/>
      <c r="Q41" s="97"/>
      <c r="R41" s="97"/>
    </row>
    <row r="42" spans="2:27" s="79" customFormat="1" ht="45" customHeight="1" outlineLevel="1" x14ac:dyDescent="0.25">
      <c r="B42" s="98" t="s">
        <v>42</v>
      </c>
      <c r="C42" s="99"/>
      <c r="D42" s="100" t="s">
        <v>43</v>
      </c>
      <c r="E42" s="100" t="s">
        <v>44</v>
      </c>
      <c r="F42" s="100" t="s">
        <v>45</v>
      </c>
      <c r="G42" s="101" t="s">
        <v>42</v>
      </c>
      <c r="H42" s="102"/>
      <c r="I42" s="97"/>
      <c r="L42" s="103"/>
      <c r="M42" s="104"/>
      <c r="N42" s="104"/>
      <c r="O42" s="104"/>
      <c r="P42" s="104"/>
      <c r="Q42" s="102"/>
      <c r="R42" s="97"/>
    </row>
    <row r="43" spans="2:27" s="79" customFormat="1" ht="18" customHeight="1" outlineLevel="1" x14ac:dyDescent="0.25">
      <c r="B43" s="105" t="s">
        <v>46</v>
      </c>
      <c r="C43" s="106"/>
      <c r="D43" s="107">
        <f>I37</f>
        <v>1.5839261421070863</v>
      </c>
      <c r="E43" s="108">
        <f>F37</f>
        <v>9.5559476576207898E-3</v>
      </c>
      <c r="F43" s="109">
        <f>AAPL_DCF!C6</f>
        <v>0.2409</v>
      </c>
      <c r="G43" s="110">
        <f>D43*(1+(E43)*(1-F43))</f>
        <v>1.595415815417019</v>
      </c>
      <c r="H43" s="97"/>
      <c r="I43" s="97"/>
      <c r="P43" s="111"/>
      <c r="Q43" s="97"/>
      <c r="R43" s="97"/>
    </row>
    <row r="44" spans="2:27" ht="14.95" customHeight="1" x14ac:dyDescent="0.25">
      <c r="C44" s="112"/>
      <c r="D44" s="113"/>
      <c r="E44" s="113"/>
      <c r="F44" s="113"/>
    </row>
    <row r="45" spans="2:27" s="5" customFormat="1" ht="25.15" customHeight="1" outlineLevel="1" x14ac:dyDescent="0.25">
      <c r="B45" s="74" t="s">
        <v>47</v>
      </c>
      <c r="C45" s="7"/>
      <c r="D45" s="7"/>
      <c r="E45" s="7"/>
      <c r="F45" s="7"/>
      <c r="G45" s="7"/>
      <c r="H45" s="7"/>
      <c r="I45" s="7"/>
    </row>
    <row r="46" spans="2:27" s="5" customFormat="1" ht="18" customHeight="1" outlineLevel="1" x14ac:dyDescent="0.25">
      <c r="B46" s="76" t="s">
        <v>48</v>
      </c>
      <c r="C46" s="7"/>
      <c r="D46" s="7"/>
      <c r="E46" s="7"/>
      <c r="F46" s="7"/>
      <c r="G46" s="7"/>
      <c r="H46" s="7"/>
      <c r="I46" s="7"/>
    </row>
    <row r="47" spans="2:27" s="117" customFormat="1" ht="18" customHeight="1" outlineLevel="1" x14ac:dyDescent="0.25">
      <c r="B47" s="115" t="s">
        <v>49</v>
      </c>
      <c r="C47" s="116"/>
      <c r="D47" s="11"/>
      <c r="E47" s="11"/>
      <c r="F47" s="11"/>
      <c r="G47" s="11"/>
      <c r="H47" s="11"/>
      <c r="I47" s="11"/>
      <c r="J47" s="17"/>
    </row>
    <row r="48" spans="2:27" s="117" customFormat="1" ht="18" customHeight="1" outlineLevel="1" x14ac:dyDescent="0.25">
      <c r="B48" s="118" t="s">
        <v>50</v>
      </c>
      <c r="C48" s="119">
        <f>1-C49</f>
        <v>9.300112898688595E-3</v>
      </c>
      <c r="D48" s="11"/>
      <c r="E48" s="11"/>
      <c r="F48" s="11"/>
      <c r="G48" s="11"/>
      <c r="H48" s="11"/>
      <c r="I48" s="11"/>
      <c r="J48" s="17"/>
    </row>
    <row r="49" spans="2:13" s="117" customFormat="1" ht="18" customHeight="1" outlineLevel="1" x14ac:dyDescent="0.25">
      <c r="B49" s="118" t="s">
        <v>51</v>
      </c>
      <c r="C49" s="119">
        <f>AAPL_DCF!G37</f>
        <v>0.9906998871013114</v>
      </c>
      <c r="D49" s="11"/>
      <c r="E49" s="11"/>
      <c r="F49" s="11"/>
      <c r="G49" s="11"/>
      <c r="H49" s="11"/>
      <c r="I49" s="11"/>
      <c r="J49" s="17"/>
    </row>
    <row r="50" spans="2:13" s="117" customFormat="1" ht="18" customHeight="1" outlineLevel="1" x14ac:dyDescent="0.25">
      <c r="B50" s="118" t="s">
        <v>52</v>
      </c>
      <c r="C50" s="119">
        <f>AAPL_DCF!F37</f>
        <v>9.5559476576207898E-3</v>
      </c>
      <c r="D50" s="11"/>
      <c r="E50" s="11"/>
      <c r="F50" s="11"/>
      <c r="G50" s="11"/>
      <c r="H50" s="11"/>
      <c r="I50" s="11"/>
      <c r="J50" s="17"/>
    </row>
    <row r="51" spans="2:13" s="117" customFormat="1" ht="18" customHeight="1" outlineLevel="1" x14ac:dyDescent="0.25">
      <c r="B51" s="115" t="s">
        <v>53</v>
      </c>
      <c r="C51" s="120"/>
      <c r="D51" s="11"/>
      <c r="E51" s="11"/>
      <c r="F51" s="11"/>
      <c r="G51" s="11"/>
      <c r="H51" s="11"/>
      <c r="I51" s="11"/>
      <c r="J51" s="17"/>
    </row>
    <row r="52" spans="2:13" s="117" customFormat="1" ht="18" customHeight="1" outlineLevel="1" x14ac:dyDescent="0.25">
      <c r="B52" s="118" t="s">
        <v>54</v>
      </c>
      <c r="C52" s="121">
        <f t="array" aca="1" ref="C52" ca="1">_FV(F4,"Yield yesterday",TRUE)</f>
        <v>4.1570000000000003E-2</v>
      </c>
      <c r="D52" s="11"/>
      <c r="E52" s="11"/>
      <c r="F52" s="11"/>
      <c r="G52" s="11"/>
      <c r="H52" s="11"/>
      <c r="I52" s="11"/>
      <c r="J52" s="17"/>
    </row>
    <row r="53" spans="2:13" s="117" customFormat="1" ht="18" customHeight="1" outlineLevel="1" x14ac:dyDescent="0.25">
      <c r="B53" s="118" t="s">
        <v>55</v>
      </c>
      <c r="C53" s="121">
        <f>F5</f>
        <v>0.05</v>
      </c>
      <c r="D53" s="11"/>
      <c r="E53" s="11"/>
      <c r="F53" s="11"/>
      <c r="G53" s="11"/>
      <c r="H53" s="11"/>
      <c r="I53" s="11"/>
      <c r="J53" s="17"/>
    </row>
    <row r="54" spans="2:13" s="117" customFormat="1" ht="18" customHeight="1" outlineLevel="1" x14ac:dyDescent="0.25">
      <c r="B54" s="118" t="s">
        <v>56</v>
      </c>
      <c r="C54" s="122">
        <f>AAPL_DCF!G43</f>
        <v>1.595415815417019</v>
      </c>
      <c r="D54" s="11"/>
      <c r="E54" s="11"/>
      <c r="F54" s="11"/>
      <c r="G54" s="11"/>
      <c r="H54" s="11"/>
      <c r="I54" s="11"/>
      <c r="J54" s="17"/>
    </row>
    <row r="55" spans="2:13" s="117" customFormat="1" ht="18" customHeight="1" outlineLevel="1" x14ac:dyDescent="0.25">
      <c r="B55" s="123" t="s">
        <v>57</v>
      </c>
      <c r="C55" s="124">
        <v>0</v>
      </c>
      <c r="D55" s="11"/>
      <c r="E55" s="11"/>
      <c r="F55" s="11"/>
      <c r="G55" s="11"/>
      <c r="H55" s="11"/>
      <c r="I55" s="11"/>
      <c r="J55" s="17"/>
    </row>
    <row r="56" spans="2:13" s="117" customFormat="1" ht="18" customHeight="1" outlineLevel="1" x14ac:dyDescent="0.25">
      <c r="B56" s="125" t="s">
        <v>53</v>
      </c>
      <c r="C56" s="126">
        <f ca="1">C52+(C54*C53)+C55</f>
        <v>0.12134079077085097</v>
      </c>
      <c r="D56" s="11"/>
      <c r="E56" s="11"/>
      <c r="F56" s="11"/>
      <c r="G56" s="11"/>
      <c r="H56" s="11"/>
      <c r="I56" s="11"/>
      <c r="J56" s="17"/>
    </row>
    <row r="57" spans="2:13" s="117" customFormat="1" ht="18" customHeight="1" outlineLevel="1" x14ac:dyDescent="0.25">
      <c r="B57" s="127" t="s">
        <v>58</v>
      </c>
      <c r="C57" s="128"/>
      <c r="D57" s="11"/>
      <c r="E57" s="11"/>
      <c r="F57" s="11"/>
      <c r="G57" s="11"/>
      <c r="H57" s="11"/>
      <c r="I57" s="11"/>
      <c r="J57" s="17"/>
    </row>
    <row r="58" spans="2:13" s="117" customFormat="1" ht="18" customHeight="1" outlineLevel="1" x14ac:dyDescent="0.25">
      <c r="B58" s="129" t="s">
        <v>59</v>
      </c>
      <c r="C58" s="130">
        <v>0</v>
      </c>
      <c r="D58" s="11"/>
      <c r="E58" s="11"/>
      <c r="F58" s="11"/>
      <c r="G58" s="11"/>
      <c r="H58" s="11"/>
      <c r="I58" s="11"/>
      <c r="J58" s="17"/>
    </row>
    <row r="59" spans="2:13" s="117" customFormat="1" ht="18" customHeight="1" outlineLevel="1" x14ac:dyDescent="0.25">
      <c r="B59" s="131" t="s">
        <v>60</v>
      </c>
      <c r="C59" s="132">
        <f>AAPL_DCF!C6</f>
        <v>0.2409</v>
      </c>
      <c r="D59" s="11"/>
      <c r="E59" s="11"/>
      <c r="F59" s="11"/>
      <c r="G59" s="11"/>
      <c r="H59" s="11"/>
      <c r="I59" s="11"/>
      <c r="J59" s="17"/>
    </row>
    <row r="60" spans="2:13" s="117" customFormat="1" ht="18" customHeight="1" outlineLevel="1" x14ac:dyDescent="0.25">
      <c r="B60" s="125" t="s">
        <v>61</v>
      </c>
      <c r="C60" s="133">
        <f>C58*(1-C59)</f>
        <v>0</v>
      </c>
      <c r="D60" s="11"/>
      <c r="E60" s="11"/>
      <c r="F60" s="11"/>
      <c r="G60" s="11"/>
      <c r="H60" s="11"/>
      <c r="I60" s="11"/>
      <c r="J60" s="17"/>
    </row>
    <row r="61" spans="2:13" s="117" customFormat="1" ht="18" customHeight="1" outlineLevel="1" thickBot="1" x14ac:dyDescent="0.3">
      <c r="B61" s="134" t="s">
        <v>62</v>
      </c>
      <c r="C61" s="135">
        <f ca="1">(C60*C48)+(C56*C49)</f>
        <v>0.12021230771746591</v>
      </c>
      <c r="D61" s="11"/>
      <c r="E61" s="11"/>
      <c r="F61" s="11"/>
      <c r="G61" s="11"/>
      <c r="H61" s="11"/>
      <c r="I61" s="11"/>
      <c r="J61" s="17"/>
    </row>
    <row r="62" spans="2:13" s="26" customFormat="1" ht="12.1" customHeight="1" outlineLevel="1" thickTop="1" x14ac:dyDescent="0.25">
      <c r="B62" s="136"/>
      <c r="C62" s="137"/>
      <c r="D62" s="137"/>
      <c r="E62" s="137"/>
      <c r="F62" s="137"/>
      <c r="G62" s="138"/>
      <c r="H62" s="138"/>
      <c r="I62" s="138"/>
      <c r="J62" s="138"/>
      <c r="K62" s="138"/>
      <c r="L62" s="137"/>
      <c r="M62" s="137"/>
    </row>
    <row r="63" spans="2:13" s="5" customFormat="1" ht="25.15" customHeight="1" outlineLevel="1" x14ac:dyDescent="0.25">
      <c r="B63" s="139"/>
      <c r="C63" s="7"/>
      <c r="D63" s="7"/>
      <c r="E63" s="7"/>
      <c r="F63" s="7"/>
      <c r="G63" s="7"/>
      <c r="H63" s="7"/>
      <c r="I63" s="7"/>
    </row>
    <row r="64" spans="2:13" s="26" customFormat="1" ht="12.1" customHeight="1" outlineLevel="1" x14ac:dyDescent="0.25">
      <c r="B64" s="136"/>
      <c r="C64" s="137"/>
      <c r="D64" s="137"/>
      <c r="E64" s="137"/>
      <c r="F64" s="137"/>
      <c r="G64" s="138"/>
      <c r="H64" s="138"/>
      <c r="I64" s="138"/>
      <c r="J64" s="138"/>
      <c r="K64" s="138"/>
      <c r="L64" s="137"/>
      <c r="M64" s="137"/>
    </row>
    <row r="65" spans="2:20" s="26" customFormat="1" ht="18" customHeight="1" x14ac:dyDescent="0.25">
      <c r="B65" s="62" t="s">
        <v>63</v>
      </c>
      <c r="C65" s="63">
        <f>C21</f>
        <v>111852000000</v>
      </c>
      <c r="D65" s="63">
        <f>D21</f>
        <v>122034000000</v>
      </c>
      <c r="E65" s="63">
        <f>E21</f>
        <v>117669000000</v>
      </c>
      <c r="F65" s="63">
        <f>F21</f>
        <v>123216000000</v>
      </c>
      <c r="G65" s="65">
        <f>G22+G24</f>
        <v>225637517467.16147</v>
      </c>
      <c r="H65" s="65">
        <f>H22+H24</f>
        <v>236031729751.3634</v>
      </c>
      <c r="I65" s="65">
        <f>I22+I24</f>
        <v>245092784731.49051</v>
      </c>
      <c r="J65" s="65">
        <f>J22+J24</f>
        <v>252695144064.0394</v>
      </c>
      <c r="K65" s="66">
        <f>K22+K24</f>
        <v>258758594652.1188</v>
      </c>
      <c r="L65" s="67">
        <f>(F65/C65)^(1/3)-1</f>
        <v>3.2779916462517766E-2</v>
      </c>
      <c r="M65" s="67">
        <f>(K65/G65)^(1/4)-1</f>
        <v>3.4834425297519678E-2</v>
      </c>
    </row>
    <row r="66" spans="2:20" s="26" customFormat="1" ht="18" customHeight="1" x14ac:dyDescent="0.25">
      <c r="B66" s="32" t="s">
        <v>64</v>
      </c>
      <c r="C66" s="140">
        <f>C65*C6</f>
        <v>26945146800</v>
      </c>
      <c r="D66" s="140">
        <f>D65*C6</f>
        <v>29397990600</v>
      </c>
      <c r="E66" s="140">
        <f>E65*C6</f>
        <v>28346462100</v>
      </c>
      <c r="F66" s="140">
        <f>F65*C6</f>
        <v>29682734400</v>
      </c>
      <c r="G66" s="35">
        <f>AAPL_DCF!$C$59*-G65</f>
        <v>-54356077957.839195</v>
      </c>
      <c r="H66" s="35">
        <f>AAPL_DCF!$C$59*-H65</f>
        <v>-56860043697.103447</v>
      </c>
      <c r="I66" s="35">
        <f>AAPL_DCF!$C$59*-I65</f>
        <v>-59042851841.816063</v>
      </c>
      <c r="J66" s="35">
        <f>AAPL_DCF!$C$59*-J65</f>
        <v>-60874260205.027092</v>
      </c>
      <c r="K66" s="36">
        <f>AAPL_DCF!$C$59*-K65</f>
        <v>-62334945451.695419</v>
      </c>
      <c r="L66" s="49">
        <f>IFERROR((F66/C66)^(1/3)-1,"N/A")</f>
        <v>3.2779916462517766E-2</v>
      </c>
      <c r="M66" s="49">
        <f>IFERROR((K66/G66)^(1/4)-1,"N/A")</f>
        <v>3.4834425297519678E-2</v>
      </c>
    </row>
    <row r="67" spans="2:20" s="26" customFormat="1" ht="18" customHeight="1" x14ac:dyDescent="0.25">
      <c r="B67" s="32" t="s">
        <v>65</v>
      </c>
      <c r="C67" s="33">
        <v>11085000000</v>
      </c>
      <c r="D67" s="33">
        <v>10708000000</v>
      </c>
      <c r="E67" s="33">
        <v>10959000000</v>
      </c>
      <c r="F67" s="34">
        <v>9447000000</v>
      </c>
      <c r="G67" s="35">
        <f>-(G68*G11)</f>
        <v>10887810303.775574</v>
      </c>
      <c r="H67" s="35">
        <f>-(H68*H11)</f>
        <v>11202034877.700048</v>
      </c>
      <c r="I67" s="35">
        <f>-(I68*I11)</f>
        <v>11413307692.408068</v>
      </c>
      <c r="J67" s="35">
        <f>-(J68*J11)</f>
        <v>11514432081.438139</v>
      </c>
      <c r="K67" s="36">
        <f>-(K68*K11)</f>
        <v>11501308133.73945</v>
      </c>
      <c r="L67" s="140">
        <f>IFERROR((F67/C67)^(1/3)-1,"N/A")</f>
        <v>-5.1903072188747124E-2</v>
      </c>
      <c r="M67" s="140">
        <f>IFERROR((K67/G67)^(1/4)-1,"n.a.")</f>
        <v>1.3798567689740304E-2</v>
      </c>
      <c r="P67" s="229"/>
      <c r="Q67" s="228"/>
      <c r="R67" s="228"/>
      <c r="S67" s="228"/>
      <c r="T67" s="228"/>
    </row>
    <row r="68" spans="2:20" s="26" customFormat="1" ht="18" customHeight="1" x14ac:dyDescent="0.25">
      <c r="B68" s="38" t="s">
        <v>19</v>
      </c>
      <c r="C68" s="140"/>
      <c r="D68" s="37">
        <f>-D67/D11</f>
        <v>-2.735841102512283E-2</v>
      </c>
      <c r="E68" s="37">
        <f>-E67/E11</f>
        <v>-2.8888736582382588E-2</v>
      </c>
      <c r="F68" s="56">
        <f>-F67/F11</f>
        <v>-2.415896275269477E-2</v>
      </c>
      <c r="G68" s="57">
        <f>AVERAGE(D68:F68)</f>
        <v>-2.6802036786733398E-2</v>
      </c>
      <c r="H68" s="57">
        <f>G68</f>
        <v>-2.6802036786733398E-2</v>
      </c>
      <c r="I68" s="57">
        <f>H68</f>
        <v>-2.6802036786733398E-2</v>
      </c>
      <c r="J68" s="57">
        <f>I68</f>
        <v>-2.6802036786733398E-2</v>
      </c>
      <c r="K68" s="58">
        <f>J68</f>
        <v>-2.6802036786733398E-2</v>
      </c>
      <c r="L68" s="37"/>
      <c r="M68" s="37"/>
      <c r="N68" s="141"/>
      <c r="O68" s="141"/>
      <c r="P68" s="142"/>
      <c r="Q68" s="142"/>
      <c r="R68" s="142"/>
      <c r="S68" s="142"/>
      <c r="T68" s="142"/>
    </row>
    <row r="69" spans="2:20" s="26" customFormat="1" ht="18" customHeight="1" x14ac:dyDescent="0.25">
      <c r="B69" s="32" t="s">
        <v>66</v>
      </c>
      <c r="C69" s="33">
        <v>-30059000000</v>
      </c>
      <c r="D69" s="33">
        <v>-37859000000</v>
      </c>
      <c r="E69" s="33">
        <v>-39429000000</v>
      </c>
      <c r="F69" s="34">
        <v>-59448000000</v>
      </c>
      <c r="G69" s="35">
        <f>G70*G11</f>
        <v>-61758162212.444916</v>
      </c>
      <c r="H69" s="35">
        <f>H70*H11</f>
        <v>-63540516208.898613</v>
      </c>
      <c r="I69" s="35">
        <f>I70*I11</f>
        <v>-64738904167.338066</v>
      </c>
      <c r="J69" s="35">
        <f>J70*J11</f>
        <v>-65312504941.70018</v>
      </c>
      <c r="K69" s="36">
        <f>K70*K11</f>
        <v>-65238062894.288483</v>
      </c>
      <c r="L69" s="140"/>
      <c r="M69" s="140"/>
    </row>
    <row r="70" spans="2:20" s="26" customFormat="1" ht="18" customHeight="1" x14ac:dyDescent="0.25">
      <c r="B70" s="38" t="s">
        <v>19</v>
      </c>
      <c r="C70" s="37">
        <f>C69/C11</f>
        <v>-8.2767944665337642E-2</v>
      </c>
      <c r="D70" s="37">
        <f>D69/D11</f>
        <v>-9.6727874766541391E-2</v>
      </c>
      <c r="E70" s="37">
        <f>E69/E11</f>
        <v>-0.10393776756152596</v>
      </c>
      <c r="F70" s="56">
        <f>F69/F11</f>
        <v>-0.15202731213318502</v>
      </c>
      <c r="G70" s="57">
        <f>F70</f>
        <v>-0.15202731213318502</v>
      </c>
      <c r="H70" s="57">
        <f>G70</f>
        <v>-0.15202731213318502</v>
      </c>
      <c r="I70" s="57">
        <f>H70</f>
        <v>-0.15202731213318502</v>
      </c>
      <c r="J70" s="57">
        <f>I70</f>
        <v>-0.15202731213318502</v>
      </c>
      <c r="K70" s="58">
        <f>J70</f>
        <v>-0.15202731213318502</v>
      </c>
      <c r="L70" s="140"/>
      <c r="M70" s="140"/>
    </row>
    <row r="71" spans="2:20" s="26" customFormat="1" ht="18" customHeight="1" x14ac:dyDescent="0.25">
      <c r="B71" s="32" t="s">
        <v>67</v>
      </c>
      <c r="C71" s="143"/>
      <c r="D71" s="140">
        <f t="shared" ref="D71:K71" si="4">C69-D69</f>
        <v>7800000000</v>
      </c>
      <c r="E71" s="140">
        <f t="shared" si="4"/>
        <v>1570000000</v>
      </c>
      <c r="F71" s="144">
        <f t="shared" si="4"/>
        <v>20019000000</v>
      </c>
      <c r="G71" s="35">
        <f t="shared" si="4"/>
        <v>2310162212.4449158</v>
      </c>
      <c r="H71" s="35">
        <f t="shared" si="4"/>
        <v>1782353996.4536972</v>
      </c>
      <c r="I71" s="35">
        <f t="shared" si="4"/>
        <v>1198387958.4394531</v>
      </c>
      <c r="J71" s="35">
        <f t="shared" si="4"/>
        <v>573600774.36211395</v>
      </c>
      <c r="K71" s="36">
        <f t="shared" si="4"/>
        <v>-74442047.411697388</v>
      </c>
      <c r="L71" s="145"/>
      <c r="M71" s="145"/>
      <c r="N71" s="146"/>
      <c r="O71" s="142"/>
      <c r="P71" s="147"/>
      <c r="Q71" s="147"/>
      <c r="R71" s="147"/>
      <c r="S71" s="147"/>
      <c r="T71" s="147"/>
    </row>
    <row r="72" spans="2:20" s="26" customFormat="1" ht="18" customHeight="1" x14ac:dyDescent="0.25">
      <c r="B72" s="62" t="s">
        <v>68</v>
      </c>
      <c r="C72" s="63"/>
      <c r="D72" s="63">
        <f t="shared" ref="D72:K72" si="5">D22+D66+D67+D71</f>
        <v>178446990600</v>
      </c>
      <c r="E72" s="63">
        <f t="shared" si="5"/>
        <v>166695462100</v>
      </c>
      <c r="F72" s="64">
        <f t="shared" si="5"/>
        <v>193809734400</v>
      </c>
      <c r="G72" s="65">
        <f t="shared" si="5"/>
        <v>172386506200.85724</v>
      </c>
      <c r="H72" s="65">
        <f t="shared" si="5"/>
        <v>179714165210.91119</v>
      </c>
      <c r="I72" s="65">
        <f t="shared" si="5"/>
        <v>185985061699.10776</v>
      </c>
      <c r="J72" s="65">
        <f t="shared" si="5"/>
        <v>191120032733.496</v>
      </c>
      <c r="K72" s="66">
        <f t="shared" si="5"/>
        <v>195076207851.05212</v>
      </c>
      <c r="L72" s="63"/>
      <c r="M72" s="63"/>
      <c r="N72" s="146"/>
      <c r="O72" s="142"/>
      <c r="P72" s="147"/>
      <c r="Q72" s="147"/>
      <c r="R72" s="147"/>
      <c r="S72" s="147"/>
      <c r="T72" s="147"/>
    </row>
    <row r="73" spans="2:20" s="26" customFormat="1" ht="18" customHeight="1" x14ac:dyDescent="0.25">
      <c r="B73" s="32" t="s">
        <v>62</v>
      </c>
      <c r="C73" s="148"/>
      <c r="D73" s="140"/>
      <c r="E73" s="140"/>
      <c r="F73" s="144"/>
      <c r="G73" s="149">
        <f ca="1">WACC</f>
        <v>0.12021230771746591</v>
      </c>
      <c r="H73" s="149">
        <f ca="1">WACC</f>
        <v>0.12021230771746591</v>
      </c>
      <c r="I73" s="149">
        <f ca="1">WACC</f>
        <v>0.12021230771746591</v>
      </c>
      <c r="J73" s="149">
        <f ca="1">WACC</f>
        <v>0.12021230771746591</v>
      </c>
      <c r="K73" s="120">
        <f ca="1">WACC</f>
        <v>0.12021230771746591</v>
      </c>
      <c r="L73" s="140"/>
      <c r="M73" s="140"/>
    </row>
    <row r="74" spans="2:20" s="26" customFormat="1" ht="18" customHeight="1" x14ac:dyDescent="0.25">
      <c r="B74" s="32" t="s">
        <v>69</v>
      </c>
      <c r="C74" s="140"/>
      <c r="D74" s="140"/>
      <c r="E74" s="140"/>
      <c r="F74" s="144"/>
      <c r="G74" s="150">
        <f ca="1">1 / (1 +WACC)^1</f>
        <v>0.89268792452172807</v>
      </c>
      <c r="H74" s="151">
        <f ca="1">G74+1</f>
        <v>1.8926879245217281</v>
      </c>
      <c r="I74" s="151">
        <f ca="1">H74+1</f>
        <v>2.8926879245217281</v>
      </c>
      <c r="J74" s="151">
        <f ca="1">I74+1</f>
        <v>3.8926879245217281</v>
      </c>
      <c r="K74" s="152">
        <f ca="1">J74+1</f>
        <v>4.8926879245217281</v>
      </c>
      <c r="L74" s="140"/>
      <c r="M74" s="140"/>
    </row>
    <row r="75" spans="2:20" s="26" customFormat="1" ht="18" customHeight="1" x14ac:dyDescent="0.25">
      <c r="B75" s="32" t="s">
        <v>70</v>
      </c>
      <c r="C75" s="140"/>
      <c r="D75" s="140"/>
      <c r="E75" s="140"/>
      <c r="F75" s="144"/>
      <c r="G75" s="153">
        <f ca="1">1/((1+G73)^G74)</f>
        <v>0.90362904507489272</v>
      </c>
      <c r="H75" s="153">
        <f ca="1">1/((1+H73)^H74)</f>
        <v>0.80665873678545708</v>
      </c>
      <c r="I75" s="153">
        <f ca="1">1/((1+I73)^I74)</f>
        <v>0.72009451353832854</v>
      </c>
      <c r="J75" s="153">
        <f ca="1">1/((1+J73)^J74)</f>
        <v>0.64281967675001384</v>
      </c>
      <c r="K75" s="122">
        <f ca="1">1/((1+K73)^K74)</f>
        <v>0.5738373630796979</v>
      </c>
      <c r="L75" s="140"/>
      <c r="M75" s="140"/>
    </row>
    <row r="76" spans="2:20" s="26" customFormat="1" ht="18" customHeight="1" thickBot="1" x14ac:dyDescent="0.3">
      <c r="B76" s="154" t="s">
        <v>71</v>
      </c>
      <c r="C76" s="155"/>
      <c r="D76" s="155"/>
      <c r="E76" s="155"/>
      <c r="F76" s="156"/>
      <c r="G76" s="157">
        <f ca="1">G75*G72</f>
        <v>155773453982.0777</v>
      </c>
      <c r="H76" s="157">
        <f ca="1">H75*H72</f>
        <v>144968001491.48657</v>
      </c>
      <c r="I76" s="157">
        <f ca="1">I75*I72</f>
        <v>133926822529.61502</v>
      </c>
      <c r="J76" s="157">
        <f ca="1">J75*J72</f>
        <v>122855717662.19797</v>
      </c>
      <c r="K76" s="158">
        <f ca="1">K75*K72</f>
        <v>111942016712.83481</v>
      </c>
      <c r="L76" s="155"/>
      <c r="M76" s="155"/>
      <c r="N76" s="146"/>
      <c r="O76" s="142"/>
      <c r="P76" s="147"/>
      <c r="Q76" s="147"/>
      <c r="R76" s="147"/>
      <c r="S76" s="147"/>
      <c r="T76" s="147"/>
    </row>
    <row r="77" spans="2:20" s="26" customFormat="1" ht="18" customHeight="1" thickTop="1" x14ac:dyDescent="0.25">
      <c r="B77" s="136"/>
      <c r="C77" s="137"/>
      <c r="D77" s="137"/>
      <c r="E77" s="137"/>
      <c r="F77" s="137"/>
      <c r="G77" s="138"/>
      <c r="H77" s="138"/>
      <c r="I77" s="138"/>
      <c r="J77" s="138"/>
      <c r="K77" s="138"/>
      <c r="L77" s="137"/>
      <c r="M77" s="137"/>
    </row>
    <row r="78" spans="2:20" s="26" customFormat="1" ht="18" customHeight="1" x14ac:dyDescent="0.25">
      <c r="B78" s="159" t="s">
        <v>72</v>
      </c>
      <c r="C78" s="159"/>
      <c r="D78" s="137"/>
      <c r="E78" s="7" t="s">
        <v>73</v>
      </c>
      <c r="F78" s="8"/>
      <c r="G78" s="160">
        <f>F10</f>
        <v>2024</v>
      </c>
      <c r="H78" s="161">
        <f>G10</f>
        <v>2025</v>
      </c>
      <c r="I78" s="161">
        <f>H10</f>
        <v>2026</v>
      </c>
      <c r="J78" s="161">
        <f>I10</f>
        <v>2027</v>
      </c>
      <c r="K78" s="161">
        <f>J10</f>
        <v>2028</v>
      </c>
      <c r="L78" s="137"/>
      <c r="M78" s="137"/>
    </row>
    <row r="79" spans="2:20" s="26" customFormat="1" ht="18" customHeight="1" x14ac:dyDescent="0.25">
      <c r="B79" s="162" t="s">
        <v>74</v>
      </c>
      <c r="C79" s="163">
        <f ca="1">SUM(AAPL_DCF!G76:K76)+AAPL_DCF!C95</f>
        <v>1745985919490.1514</v>
      </c>
      <c r="D79" s="137"/>
      <c r="E79" s="164" t="s">
        <v>75</v>
      </c>
      <c r="F79" s="164"/>
      <c r="G79" s="165">
        <f ca="1">EV/F11</f>
        <v>4.4650374505866521</v>
      </c>
      <c r="H79" s="165">
        <f ca="1">EV/G11</f>
        <v>4.2980156282724815</v>
      </c>
      <c r="I79" s="165">
        <f ca="1">EV/H11</f>
        <v>4.1774534139730797</v>
      </c>
      <c r="J79" s="165">
        <f ca="1">EV/I11</f>
        <v>4.10012417998872</v>
      </c>
      <c r="K79" s="165">
        <f ca="1">EV/J11</f>
        <v>4.0641152348912737</v>
      </c>
      <c r="L79" s="137"/>
      <c r="M79" s="137"/>
    </row>
    <row r="80" spans="2:20" s="26" customFormat="1" ht="18" customHeight="1" outlineLevel="1" x14ac:dyDescent="0.25">
      <c r="B80" s="166" t="s">
        <v>76</v>
      </c>
      <c r="C80" s="167">
        <v>106667000000</v>
      </c>
      <c r="D80" s="137"/>
      <c r="E80" s="168" t="s">
        <v>77</v>
      </c>
      <c r="F80" s="169"/>
      <c r="G80" s="170"/>
      <c r="H80" s="170"/>
      <c r="I80" s="170"/>
      <c r="J80" s="170"/>
      <c r="K80" s="170"/>
      <c r="L80" s="137"/>
      <c r="M80" s="137"/>
    </row>
    <row r="81" spans="2:20" s="26" customFormat="1" ht="18" customHeight="1" outlineLevel="1" x14ac:dyDescent="0.25">
      <c r="B81" s="166" t="s">
        <v>78</v>
      </c>
      <c r="C81" s="167">
        <v>29943000000</v>
      </c>
      <c r="D81" s="137"/>
      <c r="E81" s="168" t="s">
        <v>77</v>
      </c>
      <c r="F81" s="169"/>
      <c r="G81" s="170"/>
      <c r="H81" s="170"/>
      <c r="I81" s="170"/>
      <c r="J81" s="170"/>
      <c r="K81" s="170"/>
      <c r="L81" s="137"/>
      <c r="M81" s="137"/>
    </row>
    <row r="82" spans="2:20" s="26" customFormat="1" ht="18" customHeight="1" outlineLevel="1" x14ac:dyDescent="0.25">
      <c r="B82" s="171" t="s">
        <v>79</v>
      </c>
      <c r="C82" s="172">
        <f>C80-C81</f>
        <v>76724000000</v>
      </c>
      <c r="D82" s="137"/>
      <c r="E82" s="168" t="s">
        <v>77</v>
      </c>
      <c r="F82" s="173"/>
      <c r="G82" s="174"/>
      <c r="H82" s="174"/>
      <c r="I82" s="174"/>
      <c r="J82" s="174"/>
      <c r="K82" s="174"/>
      <c r="L82" s="137"/>
      <c r="M82" s="137"/>
    </row>
    <row r="83" spans="2:20" s="26" customFormat="1" ht="18" customHeight="1" x14ac:dyDescent="0.25">
      <c r="B83" s="169" t="s">
        <v>80</v>
      </c>
      <c r="C83" s="175">
        <f ca="1">C79-C82</f>
        <v>1669261919490.1514</v>
      </c>
      <c r="D83" s="137"/>
      <c r="E83" s="169" t="s">
        <v>81</v>
      </c>
      <c r="F83" s="169"/>
      <c r="G83" s="170">
        <f ca="1">EV/F22</f>
        <v>12.965787566482883</v>
      </c>
      <c r="H83" s="170">
        <f ca="1">EV/G22</f>
        <v>8.1762115469031063</v>
      </c>
      <c r="I83" s="170">
        <f ca="1">EV/H22</f>
        <v>7.8088793095577236</v>
      </c>
      <c r="J83" s="170">
        <f ca="1">EV/I22</f>
        <v>7.5123239477028827</v>
      </c>
      <c r="K83" s="170">
        <f ca="1">EV/J22</f>
        <v>7.2777839097992372</v>
      </c>
      <c r="L83" s="137"/>
      <c r="M83" s="137"/>
    </row>
    <row r="84" spans="2:20" s="26" customFormat="1" ht="18" customHeight="1" outlineLevel="1" x14ac:dyDescent="0.25">
      <c r="B84" s="166" t="s">
        <v>82</v>
      </c>
      <c r="C84" s="172">
        <v>12211000000</v>
      </c>
      <c r="D84" s="137"/>
      <c r="E84" s="168" t="s">
        <v>77</v>
      </c>
      <c r="F84" s="173"/>
      <c r="G84" s="174"/>
      <c r="H84" s="174"/>
      <c r="I84" s="174"/>
      <c r="J84" s="174"/>
      <c r="K84" s="174"/>
      <c r="L84" s="137"/>
      <c r="M84" s="137"/>
    </row>
    <row r="85" spans="2:20" s="26" customFormat="1" ht="18" customHeight="1" x14ac:dyDescent="0.25">
      <c r="B85" s="176" t="s">
        <v>83</v>
      </c>
      <c r="C85" s="177">
        <f ca="1">C83/C84</f>
        <v>136.70149205553611</v>
      </c>
      <c r="D85" s="137"/>
      <c r="E85" s="176" t="s">
        <v>63</v>
      </c>
      <c r="F85" s="176"/>
      <c r="G85" s="178">
        <f ca="1">EV/F65</f>
        <v>14.170123356464675</v>
      </c>
      <c r="H85" s="178">
        <f ca="1">EV/G65</f>
        <v>7.7380124506300527</v>
      </c>
      <c r="I85" s="178">
        <f ca="1">EV/H65</f>
        <v>7.3972508752504531</v>
      </c>
      <c r="J85" s="178">
        <f ca="1">EV/I65</f>
        <v>7.1237752731193318</v>
      </c>
      <c r="K85" s="178">
        <f ca="1">EV/J65</f>
        <v>6.9094557632167</v>
      </c>
      <c r="L85" s="137"/>
      <c r="M85" s="137"/>
    </row>
    <row r="86" spans="2:20" s="26" customFormat="1" ht="18" customHeight="1" x14ac:dyDescent="0.25">
      <c r="B86" s="8"/>
      <c r="C86" s="8"/>
      <c r="D86" s="137"/>
      <c r="E86" s="7"/>
      <c r="F86" s="8"/>
      <c r="G86" s="8"/>
      <c r="H86" s="8"/>
      <c r="I86" s="8"/>
      <c r="J86" s="8"/>
      <c r="K86" s="8"/>
      <c r="L86" s="137"/>
      <c r="M86" s="137"/>
    </row>
    <row r="87" spans="2:20" s="26" customFormat="1" ht="18" customHeight="1" x14ac:dyDescent="0.25">
      <c r="B87" s="179" t="s">
        <v>84</v>
      </c>
      <c r="C87" s="180"/>
      <c r="D87" s="138"/>
      <c r="M87" s="137"/>
    </row>
    <row r="88" spans="2:20" s="26" customFormat="1" ht="18" customHeight="1" x14ac:dyDescent="0.25">
      <c r="B88" s="181" t="s">
        <v>85</v>
      </c>
      <c r="C88" s="172">
        <f>K72</f>
        <v>195076207851.05212</v>
      </c>
      <c r="D88" s="182"/>
      <c r="M88" s="182"/>
    </row>
    <row r="89" spans="2:20" s="26" customFormat="1" ht="18" customHeight="1" x14ac:dyDescent="0.25">
      <c r="B89" s="181" t="s">
        <v>86</v>
      </c>
      <c r="C89" s="183">
        <f>F6</f>
        <v>0.02</v>
      </c>
      <c r="D89" s="137"/>
      <c r="M89" s="137"/>
      <c r="N89" s="227"/>
      <c r="O89" s="228"/>
      <c r="P89" s="228"/>
      <c r="Q89" s="228"/>
      <c r="R89" s="228"/>
      <c r="S89" s="228"/>
      <c r="T89" s="228"/>
    </row>
    <row r="90" spans="2:20" s="26" customFormat="1" ht="18" customHeight="1" x14ac:dyDescent="0.25">
      <c r="B90" s="181" t="s">
        <v>87</v>
      </c>
      <c r="C90" s="172">
        <f>K22</f>
        <v>245984287216.4198</v>
      </c>
      <c r="D90" s="137"/>
      <c r="M90" s="137"/>
      <c r="P90" s="227"/>
      <c r="Q90" s="228"/>
      <c r="R90" s="228"/>
      <c r="S90" s="228"/>
      <c r="T90" s="228"/>
    </row>
    <row r="91" spans="2:20" s="26" customFormat="1" ht="18" customHeight="1" x14ac:dyDescent="0.25">
      <c r="B91" s="181" t="s">
        <v>88</v>
      </c>
      <c r="C91" s="172">
        <f ca="1">C88*(1+C89)/(WACC-C89)</f>
        <v>1985561819103.7183</v>
      </c>
      <c r="D91" s="137"/>
      <c r="M91" s="137"/>
      <c r="N91" s="184"/>
      <c r="O91" s="185"/>
      <c r="P91" s="186"/>
      <c r="Q91" s="186"/>
      <c r="R91" s="187"/>
      <c r="S91" s="186"/>
      <c r="T91" s="186"/>
    </row>
    <row r="92" spans="2:20" s="26" customFormat="1" ht="18" customHeight="1" x14ac:dyDescent="0.25">
      <c r="B92" s="188" t="s">
        <v>89</v>
      </c>
      <c r="C92" s="189">
        <f ca="1">(C91*(1+WACC)^0.5)/C90</f>
        <v>8.543311007713271</v>
      </c>
      <c r="D92" s="137"/>
      <c r="M92" s="137"/>
      <c r="N92" s="190"/>
      <c r="O92" s="186"/>
      <c r="P92" s="191"/>
      <c r="Q92" s="191"/>
      <c r="R92" s="191"/>
      <c r="S92" s="191"/>
      <c r="T92" s="191"/>
    </row>
    <row r="93" spans="2:20" s="26" customFormat="1" ht="18" customHeight="1" x14ac:dyDescent="0.25">
      <c r="B93" s="181" t="s">
        <v>69</v>
      </c>
      <c r="C93" s="192">
        <f ca="1">K74+0.5</f>
        <v>5.3926879245217281</v>
      </c>
      <c r="D93" s="138"/>
      <c r="M93" s="137"/>
      <c r="N93" s="190"/>
      <c r="O93" s="186"/>
      <c r="P93" s="191"/>
      <c r="Q93" s="191"/>
      <c r="R93" s="191"/>
      <c r="S93" s="191"/>
      <c r="T93" s="191"/>
    </row>
    <row r="94" spans="2:20" s="26" customFormat="1" ht="18" customHeight="1" x14ac:dyDescent="0.25">
      <c r="B94" s="181" t="s">
        <v>70</v>
      </c>
      <c r="C94" s="192">
        <f ca="1">1/((1+WACC)^C93)</f>
        <v>0.54217395638574462</v>
      </c>
      <c r="D94" s="182"/>
      <c r="M94" s="137"/>
      <c r="N94" s="190"/>
      <c r="O94" s="187"/>
      <c r="P94" s="191"/>
      <c r="Q94" s="191"/>
      <c r="R94" s="193"/>
      <c r="S94" s="191"/>
      <c r="T94" s="191"/>
    </row>
    <row r="95" spans="2:20" s="26" customFormat="1" ht="18" customHeight="1" x14ac:dyDescent="0.25">
      <c r="B95" s="194" t="s">
        <v>90</v>
      </c>
      <c r="C95" s="195">
        <f ca="1">C91*C94</f>
        <v>1076519907111.9391</v>
      </c>
      <c r="D95" s="137"/>
      <c r="M95" s="137"/>
      <c r="N95" s="190"/>
      <c r="O95" s="186"/>
      <c r="P95" s="191"/>
      <c r="Q95" s="191"/>
      <c r="R95" s="191"/>
      <c r="S95" s="191"/>
      <c r="T95" s="191"/>
    </row>
    <row r="96" spans="2:20" s="26" customFormat="1" ht="18" customHeight="1" x14ac:dyDescent="0.25">
      <c r="B96" s="38" t="s">
        <v>91</v>
      </c>
      <c r="C96" s="196">
        <f ca="1">C95/AAPL_DCF!C79</f>
        <v>0.61656849296144134</v>
      </c>
      <c r="D96" s="137"/>
      <c r="M96" s="137"/>
      <c r="N96" s="190"/>
      <c r="O96" s="186"/>
      <c r="P96" s="191"/>
      <c r="Q96" s="191"/>
      <c r="R96" s="191"/>
      <c r="S96" s="191"/>
      <c r="T96" s="191"/>
    </row>
    <row r="97" spans="2:13" x14ac:dyDescent="0.25">
      <c r="B97" s="197"/>
      <c r="C97" s="198"/>
      <c r="D97" s="16"/>
      <c r="L97" s="15"/>
      <c r="M97" s="17"/>
    </row>
    <row r="98" spans="2:13" x14ac:dyDescent="0.25">
      <c r="D98" s="16"/>
      <c r="L98" s="15"/>
      <c r="M98" s="17"/>
    </row>
    <row r="99" spans="2:13" x14ac:dyDescent="0.25">
      <c r="D99" s="16"/>
      <c r="L99" s="15"/>
      <c r="M99" s="17"/>
    </row>
    <row r="100" spans="2:13" x14ac:dyDescent="0.25">
      <c r="D100" s="16"/>
      <c r="L100" s="15"/>
      <c r="M100" s="17"/>
    </row>
    <row r="101" spans="2:13" x14ac:dyDescent="0.25">
      <c r="D101" s="16"/>
      <c r="L101" s="15"/>
      <c r="M101" s="17"/>
    </row>
    <row r="102" spans="2:13" ht="12.9" customHeight="1" x14ac:dyDescent="0.25">
      <c r="B102" s="199"/>
      <c r="C102" s="200"/>
      <c r="D102" s="16"/>
      <c r="L102" s="15"/>
      <c r="M102" s="17"/>
    </row>
    <row r="103" spans="2:13" x14ac:dyDescent="0.25">
      <c r="D103" s="16"/>
      <c r="L103" s="15"/>
      <c r="M103" s="17"/>
    </row>
    <row r="104" spans="2:13" x14ac:dyDescent="0.25">
      <c r="D104" s="16"/>
      <c r="L104" s="15"/>
      <c r="M104" s="17"/>
    </row>
    <row r="105" spans="2:13" x14ac:dyDescent="0.25">
      <c r="D105" s="16"/>
      <c r="E105" s="201"/>
      <c r="F105" s="17"/>
      <c r="G105" s="17"/>
      <c r="H105" s="17"/>
      <c r="I105" s="17"/>
      <c r="J105" s="17"/>
      <c r="K105" s="17"/>
      <c r="L105" s="17"/>
      <c r="M105" s="17"/>
    </row>
    <row r="106" spans="2:13" x14ac:dyDescent="0.25">
      <c r="D106" s="202"/>
      <c r="E106" s="203"/>
      <c r="F106" s="203"/>
      <c r="G106" s="79"/>
      <c r="H106" s="79"/>
      <c r="I106" s="79"/>
      <c r="J106" s="79"/>
      <c r="K106" s="79"/>
      <c r="L106" s="203"/>
      <c r="M106" s="203"/>
    </row>
    <row r="107" spans="2:13" x14ac:dyDescent="0.25">
      <c r="E107" s="5"/>
      <c r="F107" s="5"/>
      <c r="G107" s="5"/>
      <c r="H107" s="5"/>
      <c r="I107" s="5"/>
      <c r="J107" s="5"/>
      <c r="K107" s="5"/>
      <c r="L107" s="204"/>
      <c r="M107" s="204"/>
    </row>
    <row r="108" spans="2:13" x14ac:dyDescent="0.25">
      <c r="E108" s="5"/>
      <c r="F108" s="5"/>
      <c r="G108" s="5"/>
      <c r="H108" s="5"/>
      <c r="I108" s="5"/>
      <c r="J108" s="5"/>
      <c r="K108" s="5"/>
      <c r="L108" s="204"/>
      <c r="M108" s="204"/>
    </row>
    <row r="109" spans="2:13" x14ac:dyDescent="0.25">
      <c r="B109" s="205"/>
      <c r="C109" s="206"/>
    </row>
    <row r="114" spans="2:20" x14ac:dyDescent="0.25">
      <c r="B114" s="205"/>
      <c r="C114" s="207"/>
    </row>
    <row r="115" spans="2:20" s="208" customFormat="1" x14ac:dyDescent="0.25">
      <c r="D115" s="15"/>
      <c r="E115" s="15"/>
      <c r="F115" s="15"/>
      <c r="G115" s="15"/>
      <c r="H115" s="15"/>
      <c r="I115" s="15"/>
      <c r="J115" s="15"/>
      <c r="K115" s="15"/>
      <c r="L115" s="114"/>
      <c r="M115" s="114"/>
      <c r="N115" s="15"/>
      <c r="O115" s="15"/>
      <c r="P115" s="15"/>
      <c r="Q115" s="15"/>
      <c r="R115" s="15"/>
      <c r="S115" s="15"/>
      <c r="T115" s="15"/>
    </row>
    <row r="116" spans="2:20" s="208" customFormat="1" x14ac:dyDescent="0.25">
      <c r="B116" s="209"/>
      <c r="C116" s="112"/>
      <c r="D116" s="15"/>
      <c r="E116" s="15"/>
      <c r="F116" s="15"/>
      <c r="G116" s="15"/>
      <c r="H116" s="15"/>
      <c r="I116" s="15"/>
      <c r="J116" s="15"/>
      <c r="K116" s="15"/>
      <c r="L116" s="114"/>
      <c r="M116" s="114"/>
    </row>
    <row r="117" spans="2:20" x14ac:dyDescent="0.25">
      <c r="C117" s="210"/>
      <c r="N117" s="208"/>
      <c r="O117" s="208"/>
      <c r="P117" s="208"/>
      <c r="Q117" s="208"/>
      <c r="R117" s="208"/>
      <c r="S117" s="208"/>
      <c r="T117" s="208"/>
    </row>
    <row r="118" spans="2:20" x14ac:dyDescent="0.25">
      <c r="C118" s="112"/>
      <c r="D118" s="113"/>
      <c r="E118" s="113"/>
      <c r="F118" s="113"/>
    </row>
    <row r="119" spans="2:20" x14ac:dyDescent="0.25">
      <c r="C119" s="112"/>
      <c r="D119" s="113"/>
      <c r="E119" s="113"/>
      <c r="F119" s="113"/>
    </row>
    <row r="120" spans="2:20" x14ac:dyDescent="0.25">
      <c r="C120" s="112"/>
      <c r="D120" s="113"/>
      <c r="E120" s="113"/>
      <c r="F120" s="113"/>
      <c r="L120" s="113"/>
      <c r="M120" s="113"/>
    </row>
    <row r="121" spans="2:20" x14ac:dyDescent="0.25">
      <c r="C121" s="5"/>
      <c r="D121" s="211"/>
      <c r="E121" s="211"/>
      <c r="F121" s="211"/>
      <c r="G121" s="211"/>
      <c r="H121" s="211"/>
      <c r="I121" s="211"/>
      <c r="J121" s="211"/>
      <c r="K121" s="211"/>
      <c r="L121" s="211"/>
      <c r="M121" s="211"/>
    </row>
    <row r="122" spans="2:20" x14ac:dyDescent="0.25">
      <c r="B122" s="212"/>
      <c r="C122" s="213"/>
      <c r="D122" s="213"/>
      <c r="E122" s="213"/>
      <c r="F122" s="213"/>
      <c r="L122" s="213"/>
      <c r="M122" s="213"/>
    </row>
    <row r="123" spans="2:20" x14ac:dyDescent="0.25">
      <c r="B123" s="225"/>
      <c r="C123" s="215"/>
      <c r="D123" s="215"/>
      <c r="E123" s="215"/>
      <c r="F123" s="215"/>
      <c r="L123" s="215"/>
      <c r="M123" s="215"/>
    </row>
    <row r="124" spans="2:20" x14ac:dyDescent="0.25">
      <c r="B124" s="226"/>
      <c r="C124" s="213"/>
      <c r="D124" s="213"/>
      <c r="E124" s="213"/>
      <c r="F124" s="213"/>
      <c r="L124" s="213"/>
      <c r="M124" s="213"/>
    </row>
    <row r="125" spans="2:20" x14ac:dyDescent="0.25">
      <c r="B125" s="214"/>
      <c r="C125" s="113"/>
      <c r="D125" s="113"/>
      <c r="E125" s="113"/>
      <c r="F125" s="113"/>
      <c r="L125" s="113"/>
      <c r="M125" s="113"/>
    </row>
    <row r="126" spans="2:20" x14ac:dyDescent="0.25">
      <c r="B126" s="214"/>
      <c r="C126" s="113"/>
      <c r="D126" s="113"/>
      <c r="E126" s="113"/>
      <c r="F126" s="113"/>
      <c r="L126" s="113"/>
      <c r="M126" s="113"/>
    </row>
    <row r="127" spans="2:20" x14ac:dyDescent="0.25">
      <c r="B127" s="214"/>
      <c r="C127" s="216"/>
      <c r="D127" s="216"/>
      <c r="E127" s="216"/>
      <c r="F127" s="216"/>
      <c r="L127" s="216"/>
      <c r="M127" s="216"/>
    </row>
    <row r="128" spans="2:20" s="208" customFormat="1" x14ac:dyDescent="0.25">
      <c r="B128" s="214"/>
      <c r="C128" s="113"/>
      <c r="D128" s="113"/>
      <c r="E128" s="113"/>
      <c r="F128" s="113"/>
      <c r="G128" s="15"/>
      <c r="H128" s="15"/>
      <c r="I128" s="15"/>
      <c r="J128" s="15"/>
      <c r="K128" s="15"/>
      <c r="L128" s="113"/>
      <c r="M128" s="113"/>
      <c r="N128" s="15"/>
      <c r="O128" s="15"/>
      <c r="P128" s="15"/>
      <c r="Q128" s="15"/>
      <c r="R128" s="15"/>
      <c r="S128" s="15"/>
      <c r="T128" s="15"/>
    </row>
    <row r="129" spans="2:20" x14ac:dyDescent="0.25">
      <c r="B129" s="214"/>
      <c r="C129" s="113"/>
      <c r="D129" s="113"/>
      <c r="E129" s="113"/>
      <c r="F129" s="113"/>
      <c r="L129" s="113"/>
      <c r="M129" s="113"/>
      <c r="N129" s="208"/>
      <c r="O129" s="208"/>
      <c r="P129" s="208"/>
      <c r="Q129" s="208"/>
      <c r="R129" s="208"/>
      <c r="S129" s="208"/>
      <c r="T129" s="208"/>
    </row>
    <row r="130" spans="2:20" x14ac:dyDescent="0.25">
      <c r="B130" s="214"/>
      <c r="C130" s="113"/>
      <c r="D130" s="113"/>
      <c r="E130" s="113"/>
      <c r="F130" s="113"/>
      <c r="L130" s="113"/>
      <c r="M130" s="113"/>
    </row>
    <row r="132" spans="2:20" x14ac:dyDescent="0.25">
      <c r="B132" s="217"/>
      <c r="C132" s="218"/>
      <c r="D132" s="218"/>
      <c r="E132" s="218"/>
      <c r="F132" s="218"/>
      <c r="L132" s="218"/>
      <c r="M132" s="218"/>
    </row>
    <row r="133" spans="2:20" x14ac:dyDescent="0.25">
      <c r="B133" s="212"/>
      <c r="C133" s="213"/>
      <c r="D133" s="213"/>
      <c r="E133" s="213"/>
      <c r="F133" s="213"/>
      <c r="L133" s="213"/>
      <c r="M133" s="213"/>
    </row>
    <row r="134" spans="2:20" x14ac:dyDescent="0.25">
      <c r="B134" s="225"/>
      <c r="C134" s="215"/>
      <c r="D134" s="215"/>
      <c r="E134" s="215"/>
      <c r="F134" s="215"/>
      <c r="L134" s="215"/>
      <c r="M134" s="215"/>
    </row>
    <row r="135" spans="2:20" x14ac:dyDescent="0.25">
      <c r="B135" s="226"/>
      <c r="C135" s="213"/>
      <c r="D135" s="213"/>
      <c r="E135" s="213"/>
      <c r="F135" s="213"/>
      <c r="L135" s="213"/>
      <c r="M135" s="213"/>
    </row>
    <row r="136" spans="2:20" x14ac:dyDescent="0.25">
      <c r="B136" s="214"/>
      <c r="C136" s="113"/>
      <c r="D136" s="113"/>
      <c r="E136" s="113"/>
      <c r="F136" s="113"/>
      <c r="L136" s="113"/>
      <c r="M136" s="113"/>
    </row>
    <row r="138" spans="2:20" x14ac:dyDescent="0.25">
      <c r="B138" s="214"/>
      <c r="C138" s="113"/>
      <c r="D138" s="113"/>
      <c r="E138" s="113"/>
      <c r="F138" s="113"/>
      <c r="L138" s="113"/>
      <c r="M138" s="113"/>
    </row>
    <row r="139" spans="2:20" x14ac:dyDescent="0.25">
      <c r="B139" s="214"/>
      <c r="C139" s="113"/>
      <c r="D139" s="113"/>
      <c r="E139" s="113"/>
      <c r="F139" s="113"/>
      <c r="L139" s="113"/>
      <c r="M139" s="113"/>
    </row>
    <row r="140" spans="2:20" x14ac:dyDescent="0.25">
      <c r="B140" s="214"/>
      <c r="C140" s="113"/>
      <c r="D140" s="113"/>
      <c r="E140" s="113"/>
      <c r="F140" s="113"/>
      <c r="L140" s="113"/>
      <c r="M140" s="113"/>
    </row>
    <row r="141" spans="2:20" x14ac:dyDescent="0.25">
      <c r="B141" s="214"/>
      <c r="C141" s="113"/>
      <c r="D141" s="113"/>
      <c r="E141" s="113"/>
      <c r="F141" s="113"/>
      <c r="L141" s="113"/>
      <c r="M141" s="113"/>
    </row>
    <row r="142" spans="2:20" x14ac:dyDescent="0.25">
      <c r="B142" s="214"/>
      <c r="C142" s="113"/>
      <c r="D142" s="113"/>
      <c r="E142" s="113"/>
      <c r="F142" s="113"/>
      <c r="L142" s="113"/>
      <c r="M142" s="113"/>
    </row>
    <row r="143" spans="2:20" x14ac:dyDescent="0.25">
      <c r="B143" s="214"/>
      <c r="C143" s="113"/>
      <c r="D143" s="113"/>
      <c r="E143" s="113"/>
      <c r="F143" s="113"/>
      <c r="L143" s="113"/>
      <c r="M143" s="113"/>
    </row>
    <row r="144" spans="2:20" x14ac:dyDescent="0.25">
      <c r="B144" s="214"/>
      <c r="C144" s="113"/>
      <c r="D144" s="113"/>
      <c r="E144" s="113"/>
      <c r="F144" s="113"/>
      <c r="L144" s="113"/>
      <c r="M144" s="113"/>
    </row>
    <row r="145" spans="2:13" x14ac:dyDescent="0.25">
      <c r="B145" s="219"/>
      <c r="C145" s="215"/>
      <c r="D145" s="215"/>
      <c r="E145" s="215"/>
      <c r="F145" s="215"/>
      <c r="L145" s="215"/>
      <c r="M145" s="215"/>
    </row>
    <row r="146" spans="2:13" x14ac:dyDescent="0.25">
      <c r="B146" s="217"/>
      <c r="C146" s="218"/>
      <c r="D146" s="218"/>
      <c r="E146" s="218"/>
      <c r="F146" s="218"/>
      <c r="L146" s="218"/>
      <c r="M146" s="218"/>
    </row>
    <row r="147" spans="2:13" x14ac:dyDescent="0.25">
      <c r="B147" s="212"/>
      <c r="C147" s="213"/>
      <c r="D147" s="213"/>
      <c r="E147" s="213"/>
      <c r="F147" s="213"/>
      <c r="L147" s="213"/>
      <c r="M147" s="213"/>
    </row>
    <row r="148" spans="2:13" x14ac:dyDescent="0.25">
      <c r="B148" s="225"/>
      <c r="C148" s="215"/>
      <c r="D148" s="215"/>
      <c r="E148" s="215"/>
      <c r="F148" s="215"/>
      <c r="L148" s="215"/>
      <c r="M148" s="215"/>
    </row>
    <row r="149" spans="2:13" x14ac:dyDescent="0.25">
      <c r="B149" s="226"/>
      <c r="C149" s="213"/>
      <c r="D149" s="213"/>
      <c r="E149" s="213"/>
      <c r="F149" s="213"/>
      <c r="L149" s="213"/>
      <c r="M149" s="213"/>
    </row>
    <row r="150" spans="2:13" x14ac:dyDescent="0.25">
      <c r="B150" s="214"/>
      <c r="C150" s="215"/>
      <c r="D150" s="215"/>
      <c r="E150" s="215"/>
      <c r="F150" s="215"/>
      <c r="L150" s="215"/>
      <c r="M150" s="215"/>
    </row>
    <row r="151" spans="2:13" x14ac:dyDescent="0.25">
      <c r="B151" s="214"/>
      <c r="C151" s="215"/>
      <c r="D151" s="215"/>
      <c r="E151" s="215"/>
      <c r="F151" s="215"/>
      <c r="L151" s="215"/>
      <c r="M151" s="215"/>
    </row>
    <row r="152" spans="2:13" x14ac:dyDescent="0.25">
      <c r="B152" s="214"/>
      <c r="C152" s="215"/>
      <c r="D152" s="215"/>
      <c r="E152" s="215"/>
      <c r="F152" s="215"/>
      <c r="L152" s="215"/>
      <c r="M152" s="215"/>
    </row>
    <row r="153" spans="2:13" x14ac:dyDescent="0.25">
      <c r="B153" s="214"/>
      <c r="C153" s="215"/>
      <c r="D153" s="215"/>
      <c r="E153" s="215"/>
      <c r="F153" s="215"/>
      <c r="L153" s="215"/>
      <c r="M153" s="215"/>
    </row>
    <row r="154" spans="2:13" x14ac:dyDescent="0.25">
      <c r="B154" s="214"/>
      <c r="C154" s="215"/>
      <c r="D154" s="215"/>
      <c r="E154" s="215"/>
      <c r="F154" s="215"/>
      <c r="L154" s="215"/>
      <c r="M154" s="215"/>
    </row>
    <row r="155" spans="2:13" x14ac:dyDescent="0.25">
      <c r="B155" s="214"/>
      <c r="C155" s="215"/>
      <c r="D155" s="215"/>
      <c r="E155" s="215"/>
      <c r="F155" s="215"/>
      <c r="L155" s="215"/>
      <c r="M155" s="215"/>
    </row>
    <row r="156" spans="2:13" x14ac:dyDescent="0.25">
      <c r="B156" s="214"/>
      <c r="C156" s="215"/>
      <c r="D156" s="215"/>
      <c r="E156" s="215"/>
      <c r="F156" s="215"/>
      <c r="L156" s="215"/>
      <c r="M156" s="215"/>
    </row>
    <row r="157" spans="2:13" x14ac:dyDescent="0.25">
      <c r="B157" s="214"/>
      <c r="C157" s="215"/>
      <c r="D157" s="215"/>
      <c r="E157" s="215"/>
      <c r="F157" s="215"/>
      <c r="L157" s="215"/>
      <c r="M157" s="215"/>
    </row>
    <row r="158" spans="2:13" x14ac:dyDescent="0.25">
      <c r="B158" s="214"/>
      <c r="C158" s="215"/>
      <c r="D158" s="215"/>
      <c r="E158" s="215"/>
      <c r="F158" s="215"/>
      <c r="L158" s="215"/>
      <c r="M158" s="215"/>
    </row>
    <row r="159" spans="2:13" x14ac:dyDescent="0.25">
      <c r="B159" s="214"/>
      <c r="C159" s="215"/>
      <c r="D159" s="215"/>
      <c r="E159" s="215"/>
      <c r="F159" s="215"/>
      <c r="L159" s="215"/>
      <c r="M159" s="215"/>
    </row>
    <row r="160" spans="2:13" x14ac:dyDescent="0.25">
      <c r="B160" s="214"/>
      <c r="C160" s="215"/>
      <c r="D160" s="215"/>
      <c r="E160" s="215"/>
      <c r="F160" s="215"/>
      <c r="L160" s="215"/>
      <c r="M160" s="215"/>
    </row>
    <row r="161" spans="2:13" x14ac:dyDescent="0.25">
      <c r="B161" s="214"/>
      <c r="C161" s="215"/>
      <c r="D161" s="215"/>
      <c r="E161" s="215"/>
      <c r="F161" s="215"/>
      <c r="L161" s="215"/>
      <c r="M161" s="215"/>
    </row>
    <row r="162" spans="2:13" x14ac:dyDescent="0.25">
      <c r="B162" s="214"/>
      <c r="C162" s="215"/>
      <c r="D162" s="215"/>
      <c r="E162" s="215"/>
      <c r="F162" s="215"/>
      <c r="L162" s="215"/>
      <c r="M162" s="215"/>
    </row>
    <row r="163" spans="2:13" x14ac:dyDescent="0.25">
      <c r="B163" s="214"/>
      <c r="C163" s="215"/>
      <c r="D163" s="215"/>
      <c r="E163" s="215"/>
      <c r="F163" s="215"/>
      <c r="L163" s="215"/>
      <c r="M163" s="215"/>
    </row>
    <row r="164" spans="2:13" x14ac:dyDescent="0.25">
      <c r="B164" s="214"/>
      <c r="C164" s="215"/>
      <c r="D164" s="215"/>
      <c r="E164" s="215"/>
      <c r="F164" s="215"/>
      <c r="L164" s="215"/>
      <c r="M164" s="215"/>
    </row>
    <row r="165" spans="2:13" x14ac:dyDescent="0.25">
      <c r="B165" s="214"/>
      <c r="C165" s="215"/>
      <c r="D165" s="215"/>
      <c r="E165" s="215"/>
      <c r="F165" s="215"/>
      <c r="L165" s="215"/>
      <c r="M165" s="215"/>
    </row>
  </sheetData>
  <mergeCells count="11">
    <mergeCell ref="V29:Y29"/>
    <mergeCell ref="N89:T89"/>
    <mergeCell ref="P90:T90"/>
    <mergeCell ref="B123:B124"/>
    <mergeCell ref="B134:B135"/>
    <mergeCell ref="P67:T67"/>
    <mergeCell ref="B2:C3"/>
    <mergeCell ref="E3:F3"/>
    <mergeCell ref="L29:O29"/>
    <mergeCell ref="Q29:T29"/>
    <mergeCell ref="B148:B149"/>
  </mergeCells>
  <pageMargins left="0.3" right="0.3" top="0.3" bottom="0.3" header="0" footer="0"/>
  <pageSetup paperSize="9" scale="88"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C1B40-5F38-41C9-8069-85970241B0EF}">
  <sheetPr>
    <tabColor theme="3" tint="0.39997558519241921"/>
    <pageSetUpPr fitToPage="1"/>
  </sheetPr>
  <dimension ref="B1:EQ165"/>
  <sheetViews>
    <sheetView showGridLines="0" tabSelected="1" zoomScale="115" zoomScaleNormal="115" workbookViewId="0">
      <selection activeCell="G21" sqref="G21"/>
    </sheetView>
  </sheetViews>
  <sheetFormatPr defaultColWidth="13.5" defaultRowHeight="11.55" outlineLevelRow="1" x14ac:dyDescent="0.25"/>
  <cols>
    <col min="1" max="1" width="3.375" style="15" customWidth="1"/>
    <col min="2" max="2" width="49" style="15" customWidth="1"/>
    <col min="3" max="4" width="26.625" style="15" customWidth="1"/>
    <col min="5" max="5" width="27.375" style="15" customWidth="1"/>
    <col min="6" max="11" width="26.625" style="15" customWidth="1"/>
    <col min="12" max="12" width="14.25" style="114" customWidth="1"/>
    <col min="13" max="13" width="0.125" style="114" customWidth="1"/>
    <col min="14" max="14" width="15.125" style="15" customWidth="1"/>
    <col min="15" max="15" width="13.625" style="15" customWidth="1"/>
    <col min="16" max="16" width="3.25" style="15" customWidth="1"/>
    <col min="17" max="17" width="11.875" style="15" customWidth="1"/>
    <col min="18" max="18" width="10.5" style="15" customWidth="1"/>
    <col min="19" max="19" width="11.625" style="15" customWidth="1"/>
    <col min="20" max="20" width="8.875" style="15" customWidth="1"/>
    <col min="21" max="21" width="3.125" style="15" customWidth="1"/>
    <col min="22" max="24" width="13.5" style="15" customWidth="1"/>
    <col min="25" max="25" width="10" style="15" customWidth="1"/>
    <col min="26" max="28" width="13.5" style="15" customWidth="1"/>
    <col min="29" max="16384" width="13.5" style="15"/>
  </cols>
  <sheetData>
    <row r="1" spans="2:147" s="4" customFormat="1" ht="45" customHeight="1" x14ac:dyDescent="0.25">
      <c r="B1" s="1" t="s">
        <v>0</v>
      </c>
      <c r="C1" s="2"/>
      <c r="D1" s="2"/>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row>
    <row r="2" spans="2:147" s="5" customFormat="1" ht="25.15" customHeight="1" x14ac:dyDescent="0.25">
      <c r="B2" s="220" t="s">
        <v>1</v>
      </c>
      <c r="C2" s="221"/>
      <c r="D2" s="6"/>
      <c r="F2" s="7"/>
      <c r="G2" s="7"/>
      <c r="H2" s="7"/>
      <c r="I2" s="7"/>
    </row>
    <row r="3" spans="2:147" s="5" customFormat="1" ht="45" customHeight="1" x14ac:dyDescent="0.25">
      <c r="B3" s="222"/>
      <c r="C3" s="222"/>
      <c r="D3" s="8"/>
      <c r="E3" s="223" t="s">
        <v>2</v>
      </c>
      <c r="F3" s="222"/>
      <c r="G3" s="7"/>
      <c r="H3" s="7"/>
      <c r="I3" s="7"/>
    </row>
    <row r="4" spans="2:147" s="5" customFormat="1" ht="27.2" customHeight="1" x14ac:dyDescent="0.25">
      <c r="B4" s="9" t="s">
        <v>3</v>
      </c>
      <c r="C4" s="10" t="s">
        <v>96</v>
      </c>
      <c r="D4" s="11"/>
      <c r="E4" s="9" t="s">
        <v>4</v>
      </c>
      <c r="F4" s="10" t="e" vm="1">
        <v>#VALUE!</v>
      </c>
      <c r="G4" s="7"/>
      <c r="H4" s="7"/>
      <c r="I4" s="7"/>
    </row>
    <row r="5" spans="2:147" s="13" customFormat="1" ht="25.15" customHeight="1" x14ac:dyDescent="0.25">
      <c r="B5" s="9" t="s">
        <v>5</v>
      </c>
      <c r="C5" s="10">
        <v>2024</v>
      </c>
      <c r="D5" s="11"/>
      <c r="E5" s="9" t="s">
        <v>6</v>
      </c>
      <c r="F5" s="12">
        <v>0.05</v>
      </c>
    </row>
    <row r="6" spans="2:147" s="13" customFormat="1" ht="25.15" customHeight="1" thickBot="1" x14ac:dyDescent="0.3">
      <c r="B6" s="14" t="s">
        <v>7</v>
      </c>
      <c r="C6" s="12">
        <v>0</v>
      </c>
      <c r="E6" s="9" t="s">
        <v>8</v>
      </c>
      <c r="F6" s="12">
        <v>0.02</v>
      </c>
    </row>
    <row r="7" spans="2:147" ht="14.95" customHeight="1" x14ac:dyDescent="0.25">
      <c r="D7" s="16"/>
      <c r="L7" s="15"/>
      <c r="M7" s="17"/>
    </row>
    <row r="8" spans="2:147" s="5" customFormat="1" ht="25.15" customHeight="1" x14ac:dyDescent="0.25">
      <c r="B8" s="18" t="s">
        <v>9</v>
      </c>
      <c r="C8" s="7"/>
      <c r="D8" s="7"/>
      <c r="E8" s="7"/>
      <c r="F8" s="7"/>
      <c r="G8" s="7"/>
      <c r="H8" s="7"/>
      <c r="I8" s="7"/>
    </row>
    <row r="9" spans="2:147" s="26" customFormat="1" ht="18" customHeight="1" x14ac:dyDescent="0.25">
      <c r="B9" s="15"/>
      <c r="C9" s="19" t="s">
        <v>10</v>
      </c>
      <c r="D9" s="19"/>
      <c r="E9" s="19"/>
      <c r="F9" s="20"/>
      <c r="G9" s="21" t="s">
        <v>11</v>
      </c>
      <c r="H9" s="22"/>
      <c r="I9" s="22"/>
      <c r="J9" s="23"/>
      <c r="K9" s="24"/>
      <c r="L9" s="25" t="s">
        <v>12</v>
      </c>
      <c r="M9" s="25" t="s">
        <v>12</v>
      </c>
    </row>
    <row r="10" spans="2:147" s="26" customFormat="1" ht="18" customHeight="1" x14ac:dyDescent="0.25">
      <c r="B10" s="15"/>
      <c r="C10" s="27">
        <f>D10-1</f>
        <v>2021</v>
      </c>
      <c r="D10" s="27">
        <f>E10-1</f>
        <v>2022</v>
      </c>
      <c r="E10" s="27">
        <f>F10-1</f>
        <v>2023</v>
      </c>
      <c r="F10" s="28">
        <f>SNAP_DCF!C5</f>
        <v>2024</v>
      </c>
      <c r="G10" s="29">
        <f>F10+1</f>
        <v>2025</v>
      </c>
      <c r="H10" s="29">
        <f>G10+1</f>
        <v>2026</v>
      </c>
      <c r="I10" s="29">
        <f>H10+1</f>
        <v>2027</v>
      </c>
      <c r="J10" s="29">
        <f>I10+1</f>
        <v>2028</v>
      </c>
      <c r="K10" s="30">
        <f>J10+1</f>
        <v>2029</v>
      </c>
      <c r="L10" s="31" t="str">
        <f>C10&amp;"-"&amp;F10&amp;"A"</f>
        <v>2021-2024A</v>
      </c>
      <c r="M10" s="31" t="str">
        <f>G10&amp;"-"&amp;K10&amp;"E"</f>
        <v>2025-2029E</v>
      </c>
    </row>
    <row r="11" spans="2:147" s="26" customFormat="1" ht="18" customHeight="1" x14ac:dyDescent="0.25">
      <c r="B11" s="32" t="s">
        <v>13</v>
      </c>
      <c r="C11" s="33">
        <v>4117048000</v>
      </c>
      <c r="D11" s="33">
        <v>4601847000</v>
      </c>
      <c r="E11" s="33">
        <v>4606115000</v>
      </c>
      <c r="F11" s="34">
        <v>5361398000</v>
      </c>
      <c r="G11" s="35">
        <f>F11*(1+G12)</f>
        <v>5844400265.0483532</v>
      </c>
      <c r="H11" s="35">
        <f>G11*(1+H12)</f>
        <v>6312471653.6946087</v>
      </c>
      <c r="I11" s="35">
        <f>H11*(1+I12)</f>
        <v>6754905632.4450245</v>
      </c>
      <c r="J11" s="35">
        <f>I11*(1+J12)</f>
        <v>7160800250.6433849</v>
      </c>
      <c r="K11" s="36">
        <f>J11*(1+K12)</f>
        <v>7519476613.5867109</v>
      </c>
      <c r="L11" s="37">
        <f>(F11/C11)^(1/3)-1</f>
        <v>9.2020285292322868E-2</v>
      </c>
      <c r="M11" s="37">
        <f>(K11/G11)^(1/4)-1</f>
        <v>6.5030181587889313E-2</v>
      </c>
    </row>
    <row r="12" spans="2:147" s="26" customFormat="1" ht="18" customHeight="1" x14ac:dyDescent="0.25">
      <c r="B12" s="38" t="s">
        <v>14</v>
      </c>
      <c r="C12" s="39">
        <v>7.7700000000000005E-2</v>
      </c>
      <c r="D12" s="39">
        <f>(D11/C11)-1</f>
        <v>0.11775403152938702</v>
      </c>
      <c r="E12" s="39">
        <f>(E11/D11)-1</f>
        <v>9.2745369413638201E-4</v>
      </c>
      <c r="F12" s="40">
        <f>(F11/E11)-1</f>
        <v>0.16397397807045633</v>
      </c>
      <c r="G12" s="41">
        <f>AVERAGE(C12:F12)</f>
        <v>9.0088865823494929E-2</v>
      </c>
      <c r="H12" s="42">
        <f>G12-1%</f>
        <v>8.0088865823494934E-2</v>
      </c>
      <c r="I12" s="42">
        <f>H12-1%</f>
        <v>7.0088865823494939E-2</v>
      </c>
      <c r="J12" s="42">
        <f>I12-1%</f>
        <v>6.0088865823494937E-2</v>
      </c>
      <c r="K12" s="43">
        <f>J12-1%</f>
        <v>5.0088865823494935E-2</v>
      </c>
      <c r="L12" s="37"/>
      <c r="M12" s="37"/>
    </row>
    <row r="13" spans="2:147" s="26" customFormat="1" ht="18" customHeight="1" x14ac:dyDescent="0.25">
      <c r="B13" s="44" t="s">
        <v>15</v>
      </c>
      <c r="C13" s="45">
        <v>1750246000</v>
      </c>
      <c r="D13" s="45">
        <v>1815342000</v>
      </c>
      <c r="E13" s="45">
        <v>2114117000</v>
      </c>
      <c r="F13" s="46">
        <v>2474237000</v>
      </c>
      <c r="G13" s="47">
        <f>-(G11-G14)</f>
        <v>-2542422654.5144324</v>
      </c>
      <c r="H13" s="47">
        <f>-(H11-H14)</f>
        <v>-2746042401.3584523</v>
      </c>
      <c r="I13" s="47">
        <f>-(I11-I14)</f>
        <v>-2938509398.7728925</v>
      </c>
      <c r="J13" s="47">
        <f>-(J11-J14)</f>
        <v>-3115081095.7568359</v>
      </c>
      <c r="K13" s="48">
        <f>-(K11-K14)</f>
        <v>-3271111974.7915058</v>
      </c>
      <c r="L13" s="49">
        <f>IFERROR((F13/C13)^(1/3)-1,"N/A")</f>
        <v>0.12231319198770718</v>
      </c>
      <c r="M13" s="49">
        <f>IFERROR((K13/G13)^(1/4)-1,"N/A")</f>
        <v>6.5030181587889313E-2</v>
      </c>
    </row>
    <row r="14" spans="2:147" s="26" customFormat="1" ht="18" customHeight="1" x14ac:dyDescent="0.25">
      <c r="B14" s="50" t="s">
        <v>16</v>
      </c>
      <c r="C14" s="51">
        <f>C11-C13</f>
        <v>2366802000</v>
      </c>
      <c r="D14" s="51">
        <f>D11-D13</f>
        <v>2786505000</v>
      </c>
      <c r="E14" s="51">
        <f>E11-E13</f>
        <v>2491998000</v>
      </c>
      <c r="F14" s="51">
        <f>F11-F13</f>
        <v>2887161000</v>
      </c>
      <c r="G14" s="52">
        <f>G15*G11</f>
        <v>3301977610.5339208</v>
      </c>
      <c r="H14" s="52">
        <f>H15*H11</f>
        <v>3566429252.3361564</v>
      </c>
      <c r="I14" s="52">
        <f>I15*I11</f>
        <v>3816396233.672132</v>
      </c>
      <c r="J14" s="52">
        <f>J15*J11</f>
        <v>4045719154.886549</v>
      </c>
      <c r="K14" s="53">
        <f>K15*K11</f>
        <v>4248364638.7952051</v>
      </c>
      <c r="L14" s="54">
        <f>IFERROR((F14/C14)^(1/3)-1,"N/A")</f>
        <v>6.8488104877494793E-2</v>
      </c>
      <c r="M14" s="54">
        <f>IFERROR((K14/G14)^(1/4)-1,"N/A")</f>
        <v>6.5030181587889313E-2</v>
      </c>
    </row>
    <row r="15" spans="2:147" s="26" customFormat="1" ht="18" customHeight="1" x14ac:dyDescent="0.25">
      <c r="B15" s="55" t="s">
        <v>17</v>
      </c>
      <c r="C15" s="37">
        <f>C14/C11</f>
        <v>0.57487840802439027</v>
      </c>
      <c r="D15" s="37">
        <f>D14/D11</f>
        <v>0.60551882754902542</v>
      </c>
      <c r="E15" s="37">
        <f>E14/E11</f>
        <v>0.54101949256586079</v>
      </c>
      <c r="F15" s="56">
        <f>F14/F11</f>
        <v>0.53850898590255747</v>
      </c>
      <c r="G15" s="57">
        <f>AVERAGE(C15:F15)</f>
        <v>0.56498142851045852</v>
      </c>
      <c r="H15" s="42">
        <f>G15</f>
        <v>0.56498142851045852</v>
      </c>
      <c r="I15" s="42">
        <f>H15</f>
        <v>0.56498142851045852</v>
      </c>
      <c r="J15" s="42">
        <f>I15</f>
        <v>0.56498142851045852</v>
      </c>
      <c r="K15" s="43">
        <f>J15</f>
        <v>0.56498142851045852</v>
      </c>
      <c r="L15" s="37"/>
      <c r="M15" s="37"/>
    </row>
    <row r="16" spans="2:147" s="26" customFormat="1" ht="18" customHeight="1" x14ac:dyDescent="0.25">
      <c r="B16" s="44" t="s">
        <v>18</v>
      </c>
      <c r="C16" s="33">
        <v>3068871000</v>
      </c>
      <c r="D16" s="33">
        <v>4181811000</v>
      </c>
      <c r="E16" s="33">
        <v>3890377000</v>
      </c>
      <c r="F16" s="34">
        <v>3674455000</v>
      </c>
      <c r="G16" s="35">
        <f>F16*(1+G17)</f>
        <v>3965302956.8032818</v>
      </c>
      <c r="H16" s="35">
        <f>G16*(1+H17)</f>
        <v>4263479216.9391747</v>
      </c>
      <c r="I16" s="35">
        <f>H16*(1+I17)</f>
        <v>4568047338.6758165</v>
      </c>
      <c r="J16" s="35">
        <f>I16*(1+J17)</f>
        <v>4878056476.9392405</v>
      </c>
      <c r="K16" s="36">
        <f>J16*(1+K17)</f>
        <v>5192551900.0518837</v>
      </c>
      <c r="L16" s="49">
        <f>IFERROR((F16/C16)^(1/3)-1,"N/A")</f>
        <v>6.1870200511716433E-2</v>
      </c>
      <c r="M16" s="49">
        <f>IFERROR((K16/G16)^(1/4)-1,"N/A")</f>
        <v>6.973478471101946E-2</v>
      </c>
    </row>
    <row r="17" spans="2:27" s="26" customFormat="1" ht="18" customHeight="1" x14ac:dyDescent="0.25">
      <c r="B17" s="55" t="s">
        <v>14</v>
      </c>
      <c r="C17" s="37"/>
      <c r="D17" s="37">
        <f>(D16/C16)-1</f>
        <v>0.3626545397313865</v>
      </c>
      <c r="E17" s="37">
        <f>(E16/D16)-1</f>
        <v>-6.9690858816909729E-2</v>
      </c>
      <c r="F17" s="56">
        <f>(F16/E16)-1</f>
        <v>-5.55015619308874E-2</v>
      </c>
      <c r="G17" s="57">
        <f>AVERAGE(D17:F17)</f>
        <v>7.9154039661196454E-2</v>
      </c>
      <c r="H17" s="57">
        <f>G17*0.95</f>
        <v>7.5196337678136632E-2</v>
      </c>
      <c r="I17" s="57">
        <f>H17*0.95</f>
        <v>7.1436520794229796E-2</v>
      </c>
      <c r="J17" s="57">
        <f>I17*0.95</f>
        <v>6.7864694754518298E-2</v>
      </c>
      <c r="K17" s="58">
        <f>J17*0.95</f>
        <v>6.4471460016792381E-2</v>
      </c>
      <c r="L17" s="37"/>
      <c r="M17" s="37"/>
    </row>
    <row r="18" spans="2:27" s="61" customFormat="1" ht="18" customHeight="1" x14ac:dyDescent="0.25">
      <c r="B18" s="38" t="s">
        <v>19</v>
      </c>
      <c r="C18" s="37">
        <f t="shared" ref="C18:K18" si="0">-C16/C11</f>
        <v>-0.74540568873620128</v>
      </c>
      <c r="D18" s="37">
        <f t="shared" si="0"/>
        <v>-0.90872447519441646</v>
      </c>
      <c r="E18" s="37">
        <f t="shared" si="0"/>
        <v>-0.84461134817519756</v>
      </c>
      <c r="F18" s="56">
        <f t="shared" si="0"/>
        <v>-0.68535389463718233</v>
      </c>
      <c r="G18" s="59">
        <f t="shared" si="0"/>
        <v>-0.67847901871424532</v>
      </c>
      <c r="H18" s="59">
        <f t="shared" si="0"/>
        <v>-0.67540568113978217</v>
      </c>
      <c r="I18" s="59">
        <f t="shared" si="0"/>
        <v>-0.67625627762061769</v>
      </c>
      <c r="J18" s="59">
        <f t="shared" si="0"/>
        <v>-0.68121666660104863</v>
      </c>
      <c r="K18" s="60">
        <f t="shared" si="0"/>
        <v>-0.69054698443633977</v>
      </c>
      <c r="L18" s="37"/>
      <c r="M18" s="37"/>
    </row>
    <row r="19" spans="2:27" s="26" customFormat="1" ht="18" customHeight="1" x14ac:dyDescent="0.25">
      <c r="B19" s="62" t="s">
        <v>20</v>
      </c>
      <c r="C19" s="63">
        <f t="shared" ref="C19:K19" si="1">C16+C13</f>
        <v>4819117000</v>
      </c>
      <c r="D19" s="63">
        <f t="shared" si="1"/>
        <v>5997153000</v>
      </c>
      <c r="E19" s="63">
        <f t="shared" si="1"/>
        <v>6004494000</v>
      </c>
      <c r="F19" s="64">
        <f t="shared" si="1"/>
        <v>6148692000</v>
      </c>
      <c r="G19" s="65">
        <f t="shared" si="1"/>
        <v>1422880302.2888494</v>
      </c>
      <c r="H19" s="65">
        <f t="shared" si="1"/>
        <v>1517436815.5807223</v>
      </c>
      <c r="I19" s="65">
        <f t="shared" si="1"/>
        <v>1629537939.9029241</v>
      </c>
      <c r="J19" s="65">
        <f t="shared" si="1"/>
        <v>1762975381.1824045</v>
      </c>
      <c r="K19" s="66">
        <f t="shared" si="1"/>
        <v>1921439925.2603779</v>
      </c>
      <c r="L19" s="67">
        <f>(F19/C19)^(1/3)-1</f>
        <v>8.4605384595894728E-2</v>
      </c>
      <c r="M19" s="67">
        <f>(K19/G19)^(1/4)-1</f>
        <v>7.7989698941969499E-2</v>
      </c>
    </row>
    <row r="20" spans="2:27" s="26" customFormat="1" ht="18" customHeight="1" x14ac:dyDescent="0.25">
      <c r="B20" s="55" t="s">
        <v>14</v>
      </c>
      <c r="C20" s="37"/>
      <c r="D20" s="37">
        <f t="shared" ref="D20:K20" si="2">(D19/C19)-1</f>
        <v>0.24445059125976809</v>
      </c>
      <c r="E20" s="37">
        <f t="shared" si="2"/>
        <v>1.2240808263521696E-3</v>
      </c>
      <c r="F20" s="56">
        <f t="shared" si="2"/>
        <v>2.4015012755446152E-2</v>
      </c>
      <c r="G20" s="59">
        <f t="shared" si="2"/>
        <v>-0.76858813186790798</v>
      </c>
      <c r="H20" s="59">
        <f t="shared" si="2"/>
        <v>6.6454299170330078E-2</v>
      </c>
      <c r="I20" s="59">
        <f t="shared" si="2"/>
        <v>7.387531604029296E-2</v>
      </c>
      <c r="J20" s="59">
        <f t="shared" si="2"/>
        <v>8.1886673523802411E-2</v>
      </c>
      <c r="K20" s="60">
        <f t="shared" si="2"/>
        <v>8.9884717489187693E-2</v>
      </c>
      <c r="L20" s="37"/>
      <c r="M20" s="37"/>
    </row>
    <row r="21" spans="2:27" s="26" customFormat="1" ht="18" customHeight="1" x14ac:dyDescent="0.25">
      <c r="B21" s="62" t="s">
        <v>21</v>
      </c>
      <c r="C21" s="68">
        <v>-456695000</v>
      </c>
      <c r="D21" s="68">
        <v>-1379238000</v>
      </c>
      <c r="E21" s="68">
        <v>-1272399000</v>
      </c>
      <c r="F21" s="69">
        <v>-650674000</v>
      </c>
      <c r="G21" s="59"/>
      <c r="H21" s="59"/>
      <c r="I21" s="59"/>
      <c r="J21" s="59"/>
      <c r="K21" s="60"/>
      <c r="L21" s="37"/>
      <c r="M21" s="37"/>
    </row>
    <row r="22" spans="2:27" s="26" customFormat="1" ht="18" customHeight="1" x14ac:dyDescent="0.25">
      <c r="B22" s="62" t="s">
        <v>22</v>
      </c>
      <c r="C22" s="69">
        <v>-337554000</v>
      </c>
      <c r="D22" s="69">
        <v>-1177065000</v>
      </c>
      <c r="E22" s="69">
        <v>-1103958000</v>
      </c>
      <c r="F22" s="69">
        <v>-492600000</v>
      </c>
      <c r="G22" s="70">
        <f>G19+G11</f>
        <v>7267280567.3372021</v>
      </c>
      <c r="H22" s="70">
        <f>H19+H11</f>
        <v>7829908469.2753315</v>
      </c>
      <c r="I22" s="70">
        <f>I19+I11</f>
        <v>8384443572.3479481</v>
      </c>
      <c r="J22" s="70">
        <f>J19+J11</f>
        <v>8923775631.8257904</v>
      </c>
      <c r="K22" s="71">
        <f>K19+K11</f>
        <v>9440916538.8470879</v>
      </c>
      <c r="L22" s="67">
        <f>(F22/C22)^(1/3)-1</f>
        <v>0.13427157722698824</v>
      </c>
      <c r="M22" s="67">
        <f>(K22/G22)^(1/4)-1</f>
        <v>6.7604898407938929E-2</v>
      </c>
    </row>
    <row r="23" spans="2:27" s="26" customFormat="1" ht="18" customHeight="1" x14ac:dyDescent="0.25">
      <c r="B23" s="55" t="s">
        <v>17</v>
      </c>
      <c r="C23" s="37">
        <f t="shared" ref="C23:K23" si="3">C22/C11</f>
        <v>-8.1989328275988038E-2</v>
      </c>
      <c r="D23" s="37">
        <f t="shared" si="3"/>
        <v>-0.25578099402261745</v>
      </c>
      <c r="E23" s="37">
        <f t="shared" si="3"/>
        <v>-0.23967226176506665</v>
      </c>
      <c r="F23" s="56">
        <f t="shared" si="3"/>
        <v>-9.1879021106062261E-2</v>
      </c>
      <c r="G23" s="59">
        <f t="shared" si="3"/>
        <v>1.2434604472247037</v>
      </c>
      <c r="H23" s="59">
        <f t="shared" si="3"/>
        <v>1.2403871096502408</v>
      </c>
      <c r="I23" s="59">
        <f t="shared" si="3"/>
        <v>1.2412377061310762</v>
      </c>
      <c r="J23" s="59">
        <f t="shared" si="3"/>
        <v>1.2461980951115073</v>
      </c>
      <c r="K23" s="60">
        <f t="shared" si="3"/>
        <v>1.2555284129467983</v>
      </c>
      <c r="L23" s="37"/>
      <c r="M23" s="37"/>
    </row>
    <row r="24" spans="2:27" s="26" customFormat="1" ht="18" customHeight="1" x14ac:dyDescent="0.25">
      <c r="B24" s="32" t="s">
        <v>23</v>
      </c>
      <c r="C24" s="33">
        <v>119141000</v>
      </c>
      <c r="D24" s="33">
        <v>202173000</v>
      </c>
      <c r="E24" s="33">
        <v>168441000</v>
      </c>
      <c r="F24" s="34">
        <v>158074000</v>
      </c>
      <c r="G24" s="72">
        <f>-G11*G25</f>
        <v>202982141.49303013</v>
      </c>
      <c r="H24" s="72">
        <f>-H11*H25</f>
        <v>219238750.98763105</v>
      </c>
      <c r="I24" s="72">
        <f>-I11*I25</f>
        <v>234604946.38891372</v>
      </c>
      <c r="J24" s="72">
        <f>-J11*J25</f>
        <v>248702091.53400543</v>
      </c>
      <c r="K24" s="73">
        <f>-K11*K25</f>
        <v>261159297.2268748</v>
      </c>
      <c r="L24" s="49">
        <f>IFERROR((F24/C24)^(1/3)-1,"N/A")</f>
        <v>9.8836475800568202E-2</v>
      </c>
      <c r="M24" s="49">
        <f>IFERROR((K24/G24)^(1/4)-1,"N/A")</f>
        <v>6.5030181587889313E-2</v>
      </c>
    </row>
    <row r="25" spans="2:27" s="61" customFormat="1" ht="18" customHeight="1" x14ac:dyDescent="0.25">
      <c r="B25" s="38" t="s">
        <v>19</v>
      </c>
      <c r="C25" s="37">
        <f>-(C24/C11)</f>
        <v>-2.8938452988646234E-2</v>
      </c>
      <c r="D25" s="37">
        <f>-(D24/D11)</f>
        <v>-4.3933012114483597E-2</v>
      </c>
      <c r="E25" s="37">
        <f>-(E24/E11)</f>
        <v>-3.6568995780609036E-2</v>
      </c>
      <c r="F25" s="56">
        <f>-(F24/F11)</f>
        <v>-2.9483727938123601E-2</v>
      </c>
      <c r="G25" s="57">
        <f>AVERAGE(C25:F25)</f>
        <v>-3.4731047205465618E-2</v>
      </c>
      <c r="H25" s="57">
        <f>G25</f>
        <v>-3.4731047205465618E-2</v>
      </c>
      <c r="I25" s="57">
        <f>H25</f>
        <v>-3.4731047205465618E-2</v>
      </c>
      <c r="J25" s="57">
        <f>I25</f>
        <v>-3.4731047205465618E-2</v>
      </c>
      <c r="K25" s="58">
        <f>J25</f>
        <v>-3.4731047205465618E-2</v>
      </c>
      <c r="L25" s="37"/>
      <c r="M25" s="37"/>
    </row>
    <row r="26" spans="2:27" ht="14.95" customHeight="1" x14ac:dyDescent="0.25">
      <c r="D26" s="16"/>
      <c r="L26" s="15"/>
      <c r="M26" s="17"/>
    </row>
    <row r="27" spans="2:27" s="5" customFormat="1" ht="25.15" customHeight="1" outlineLevel="1" x14ac:dyDescent="0.25">
      <c r="B27" s="74" t="s">
        <v>24</v>
      </c>
      <c r="C27" s="7"/>
      <c r="D27" s="7"/>
      <c r="E27" s="7"/>
      <c r="F27" s="7"/>
      <c r="G27" s="7"/>
      <c r="H27" s="7"/>
      <c r="I27" s="7"/>
      <c r="J27" s="11"/>
      <c r="K27" s="11"/>
      <c r="L27" s="11"/>
      <c r="M27" s="11"/>
      <c r="N27" s="11"/>
      <c r="O27" s="11"/>
      <c r="P27" s="11"/>
      <c r="Q27" s="11"/>
      <c r="R27" s="11"/>
      <c r="S27" s="11"/>
      <c r="T27" s="11"/>
      <c r="U27" s="11"/>
      <c r="V27" s="11"/>
      <c r="W27" s="11"/>
      <c r="X27" s="11"/>
      <c r="Y27" s="11"/>
      <c r="Z27" s="11"/>
      <c r="AA27" s="11"/>
    </row>
    <row r="28" spans="2:27" s="5" customFormat="1" ht="25.15" customHeight="1" outlineLevel="1" x14ac:dyDescent="0.25">
      <c r="B28" s="75" t="s">
        <v>25</v>
      </c>
      <c r="C28" s="7"/>
      <c r="D28" s="7"/>
      <c r="E28" s="7"/>
      <c r="F28" s="7"/>
      <c r="G28" s="7"/>
      <c r="H28" s="7"/>
      <c r="I28" s="7"/>
      <c r="J28" s="11"/>
      <c r="K28" s="11"/>
      <c r="L28" s="11"/>
      <c r="M28" s="11"/>
      <c r="N28" s="11"/>
      <c r="O28" s="11"/>
      <c r="P28" s="11"/>
      <c r="Q28" s="11"/>
      <c r="R28" s="11"/>
      <c r="S28" s="11"/>
      <c r="T28" s="11"/>
      <c r="U28" s="11"/>
      <c r="V28" s="11"/>
      <c r="W28" s="11"/>
      <c r="X28" s="11"/>
      <c r="Y28" s="11"/>
      <c r="Z28" s="11"/>
      <c r="AA28" s="11"/>
    </row>
    <row r="29" spans="2:27" s="5" customFormat="1" ht="18" customHeight="1" outlineLevel="1" x14ac:dyDescent="0.25">
      <c r="B29" s="76"/>
      <c r="C29" s="7"/>
      <c r="D29" s="7"/>
      <c r="E29" s="7"/>
      <c r="F29" s="7"/>
      <c r="G29" s="7"/>
      <c r="H29" s="7"/>
      <c r="I29" s="7"/>
      <c r="J29" s="11"/>
      <c r="K29" s="11"/>
      <c r="L29" s="224"/>
      <c r="M29" s="221"/>
      <c r="N29" s="221"/>
      <c r="O29" s="221"/>
      <c r="P29" s="11"/>
      <c r="Q29" s="224"/>
      <c r="R29" s="221"/>
      <c r="S29" s="221"/>
      <c r="T29" s="221"/>
      <c r="U29" s="11"/>
      <c r="V29" s="224"/>
      <c r="W29" s="221"/>
      <c r="X29" s="221"/>
      <c r="Y29" s="221"/>
      <c r="Z29" s="11"/>
      <c r="AA29" s="11"/>
    </row>
    <row r="30" spans="2:27" s="79" customFormat="1" ht="45" customHeight="1" outlineLevel="1" x14ac:dyDescent="0.25">
      <c r="B30" s="77" t="s">
        <v>26</v>
      </c>
      <c r="C30" s="78" t="s">
        <v>27</v>
      </c>
      <c r="D30" s="78" t="s">
        <v>28</v>
      </c>
      <c r="E30" s="78" t="s">
        <v>29</v>
      </c>
      <c r="F30" s="78" t="s">
        <v>30</v>
      </c>
      <c r="G30" s="78" t="s">
        <v>31</v>
      </c>
      <c r="H30" s="78" t="s">
        <v>32</v>
      </c>
      <c r="I30" s="78" t="s">
        <v>33</v>
      </c>
      <c r="J30" s="11"/>
      <c r="K30" s="11"/>
      <c r="L30" s="11"/>
      <c r="M30" s="11"/>
      <c r="N30" s="11"/>
      <c r="O30" s="11"/>
      <c r="P30" s="11"/>
      <c r="Q30" s="11"/>
      <c r="R30" s="11"/>
      <c r="S30" s="11"/>
      <c r="T30" s="11"/>
      <c r="U30" s="11"/>
      <c r="V30" s="11"/>
      <c r="W30" s="11"/>
      <c r="X30" s="11"/>
      <c r="Y30" s="11"/>
      <c r="Z30" s="11"/>
      <c r="AA30" s="11"/>
    </row>
    <row r="31" spans="2:27" s="79" customFormat="1" ht="18" customHeight="1" outlineLevel="1" x14ac:dyDescent="0.25">
      <c r="B31" s="80" t="s">
        <v>97</v>
      </c>
      <c r="C31" s="81">
        <v>0.98499999999999999</v>
      </c>
      <c r="D31" s="230">
        <v>-985096000000000</v>
      </c>
      <c r="E31" s="230">
        <v>1.733574866E+16</v>
      </c>
      <c r="F31" s="83">
        <f>D31/E31</f>
        <v>-5.6824543278767174E-2</v>
      </c>
      <c r="G31" s="83">
        <f>E31/(D31+E31)</f>
        <v>1.0602481148908462</v>
      </c>
      <c r="H31" s="84">
        <v>-5.4744999999999999</v>
      </c>
      <c r="I31" s="85">
        <f>C31/(1+(F31)*(1-H31))</f>
        <v>1.5583236369310349</v>
      </c>
      <c r="J31" s="11"/>
      <c r="K31" s="11"/>
      <c r="L31" s="11"/>
      <c r="M31" s="11"/>
      <c r="N31" s="11"/>
      <c r="O31" s="11"/>
      <c r="P31" s="11"/>
      <c r="Q31" s="11"/>
      <c r="R31" s="11"/>
      <c r="S31" s="11"/>
      <c r="T31" s="11"/>
      <c r="U31" s="11"/>
      <c r="V31" s="11"/>
      <c r="W31" s="11"/>
      <c r="X31" s="11"/>
      <c r="Y31" s="11"/>
      <c r="Z31" s="11"/>
      <c r="AA31" s="11"/>
    </row>
    <row r="32" spans="2:27" s="79" customFormat="1" ht="18" customHeight="1" outlineLevel="1" x14ac:dyDescent="0.25">
      <c r="B32" s="86" t="s">
        <v>98</v>
      </c>
      <c r="C32" s="81">
        <v>1.5620000000000001</v>
      </c>
      <c r="D32" s="230">
        <v>-1057248000000000</v>
      </c>
      <c r="E32" s="230">
        <v>2.434455366E+16</v>
      </c>
      <c r="F32" s="83">
        <f>D32/E32</f>
        <v>-4.3428522648872418E-2</v>
      </c>
      <c r="G32" s="83">
        <f>E32/(D32+E32)</f>
        <v>1.0454001856391659</v>
      </c>
      <c r="H32" s="84">
        <v>0.22520000000000001</v>
      </c>
      <c r="I32" s="85">
        <f>C32/(1+(F32)*(1-H32))</f>
        <v>1.61638893263534</v>
      </c>
      <c r="J32" s="11"/>
      <c r="K32" s="11"/>
      <c r="L32" s="11"/>
      <c r="M32" s="11"/>
      <c r="N32" s="11"/>
      <c r="O32" s="11"/>
      <c r="P32" s="11"/>
      <c r="Q32" s="11"/>
      <c r="R32" s="11"/>
      <c r="S32" s="11"/>
      <c r="T32" s="11"/>
      <c r="U32" s="11"/>
      <c r="V32" s="11"/>
      <c r="W32" s="11"/>
      <c r="X32" s="11"/>
      <c r="Y32" s="11"/>
      <c r="Z32" s="11"/>
      <c r="AA32" s="11"/>
    </row>
    <row r="33" spans="2:27" s="79" customFormat="1" ht="18" customHeight="1" outlineLevel="1" x14ac:dyDescent="0.25">
      <c r="B33" s="86" t="s">
        <v>100</v>
      </c>
      <c r="C33" s="81">
        <v>1.4890000000000001</v>
      </c>
      <c r="D33" s="230">
        <v>964739000000000</v>
      </c>
      <c r="E33" s="230">
        <v>3.7589027589E+16</v>
      </c>
      <c r="F33" s="83">
        <f>D33/E33</f>
        <v>2.5665441802551973E-2</v>
      </c>
      <c r="G33" s="83">
        <f>E33/(D33+E33)</f>
        <v>0.97497678993898207</v>
      </c>
      <c r="H33" s="84">
        <v>-4.4000000000000003E-3</v>
      </c>
      <c r="I33" s="85">
        <f>C33/(1+(F33)*(1-H33))</f>
        <v>1.4515806181095436</v>
      </c>
      <c r="J33" s="11"/>
      <c r="K33" s="11"/>
      <c r="L33" s="11"/>
      <c r="M33" s="11"/>
      <c r="N33" s="11"/>
      <c r="O33" s="11"/>
      <c r="P33" s="11"/>
      <c r="Q33" s="11"/>
      <c r="R33" s="11"/>
      <c r="S33" s="11"/>
      <c r="T33" s="11"/>
      <c r="U33" s="11"/>
      <c r="V33" s="11"/>
      <c r="W33" s="11"/>
      <c r="X33" s="11"/>
      <c r="Y33" s="11"/>
      <c r="Z33" s="11"/>
      <c r="AA33" s="11"/>
    </row>
    <row r="34" spans="2:27" s="79" customFormat="1" ht="18" customHeight="1" outlineLevel="1" x14ac:dyDescent="0.25">
      <c r="B34" s="86" t="s">
        <v>99</v>
      </c>
      <c r="C34" s="81">
        <v>1.7529999999999999</v>
      </c>
      <c r="D34" s="230">
        <v>-2780000000000000</v>
      </c>
      <c r="E34" s="230">
        <v>1.1032752574E+17</v>
      </c>
      <c r="F34" s="83">
        <f>D34/E34</f>
        <v>-2.5197700948640888E-2</v>
      </c>
      <c r="G34" s="83">
        <f>E34/(D34+E34)</f>
        <v>1.0258490372593112</v>
      </c>
      <c r="H34" s="84">
        <v>0.15140000000000001</v>
      </c>
      <c r="I34" s="85">
        <f>C34/(1+(F34)*(1-H34))</f>
        <v>1.7913030187027357</v>
      </c>
      <c r="J34" s="11"/>
      <c r="K34" s="11"/>
      <c r="L34" s="11"/>
      <c r="M34" s="11"/>
      <c r="N34" s="11"/>
      <c r="O34" s="11"/>
      <c r="P34" s="11"/>
      <c r="Q34" s="11"/>
      <c r="R34" s="11"/>
      <c r="S34" s="11"/>
      <c r="T34" s="11"/>
      <c r="U34" s="11"/>
      <c r="V34" s="11"/>
      <c r="W34" s="11"/>
      <c r="X34" s="11"/>
      <c r="Y34" s="11"/>
      <c r="Z34" s="11"/>
      <c r="AA34" s="11"/>
    </row>
    <row r="35" spans="2:27" s="79" customFormat="1" ht="18" customHeight="1" outlineLevel="1" x14ac:dyDescent="0.25">
      <c r="B35" s="87" t="s">
        <v>101</v>
      </c>
      <c r="C35" s="81">
        <v>2.2269999999999999</v>
      </c>
      <c r="D35" s="230">
        <v>-553000000000000</v>
      </c>
      <c r="E35" s="230">
        <v>1.4541625811E+16</v>
      </c>
      <c r="F35" s="83">
        <f>D35/E35</f>
        <v>-3.8028760139164335E-2</v>
      </c>
      <c r="G35" s="83">
        <f>E35/(D35+E35)</f>
        <v>1.0395321175554748</v>
      </c>
      <c r="H35" s="84">
        <v>-4.6699999999999998E-2</v>
      </c>
      <c r="I35" s="85">
        <f>C35/(1+(F35)*(1-H35))</f>
        <v>2.319319837859211</v>
      </c>
      <c r="J35" s="11"/>
      <c r="K35" s="11"/>
      <c r="L35" s="11"/>
      <c r="M35" s="11"/>
      <c r="N35" s="11"/>
      <c r="O35" s="11"/>
      <c r="P35" s="11"/>
      <c r="Q35" s="11"/>
      <c r="R35" s="11"/>
      <c r="S35" s="11"/>
      <c r="T35" s="11"/>
      <c r="U35" s="11"/>
      <c r="V35" s="11"/>
      <c r="W35" s="11"/>
      <c r="X35" s="11"/>
      <c r="Y35" s="11"/>
      <c r="Z35" s="11"/>
      <c r="AA35" s="11"/>
    </row>
    <row r="36" spans="2:27" s="79" customFormat="1" ht="18" customHeight="1" outlineLevel="1" x14ac:dyDescent="0.25">
      <c r="B36" s="88" t="s">
        <v>36</v>
      </c>
      <c r="C36" s="89">
        <f>MEDIAN(C31:C35)</f>
        <v>1.5620000000000001</v>
      </c>
      <c r="D36" s="89"/>
      <c r="E36" s="89"/>
      <c r="F36" s="90">
        <f>MEDIAN(F31:F35)</f>
        <v>-3.8028760139164335E-2</v>
      </c>
      <c r="G36" s="90">
        <f>MEDIAN(G31:G35)</f>
        <v>1.0395321175554748</v>
      </c>
      <c r="H36" s="91"/>
      <c r="I36" s="89">
        <f>MEDIAN(I31:I35)</f>
        <v>1.61638893263534</v>
      </c>
      <c r="J36" s="11"/>
      <c r="K36" s="11"/>
      <c r="L36" s="11"/>
      <c r="M36" s="11"/>
      <c r="N36" s="11"/>
      <c r="O36" s="11"/>
      <c r="P36" s="11"/>
      <c r="Q36" s="11"/>
      <c r="R36" s="11"/>
      <c r="S36" s="11"/>
      <c r="T36" s="11"/>
      <c r="U36" s="11"/>
      <c r="V36" s="11"/>
      <c r="W36" s="11"/>
      <c r="X36" s="11"/>
      <c r="Y36" s="11"/>
      <c r="Z36" s="11"/>
      <c r="AA36" s="11"/>
    </row>
    <row r="37" spans="2:27" s="79" customFormat="1" ht="18" customHeight="1" outlineLevel="1" x14ac:dyDescent="0.25">
      <c r="B37" s="92" t="s">
        <v>37</v>
      </c>
      <c r="C37" s="93">
        <f>AVERAGE(C31:C35)</f>
        <v>1.6032</v>
      </c>
      <c r="D37" s="93"/>
      <c r="E37" s="93"/>
      <c r="F37" s="94">
        <f>AVERAGE(F31:F35)</f>
        <v>-2.7562817042578569E-2</v>
      </c>
      <c r="G37" s="94">
        <f>AVERAGE(G31:G35)</f>
        <v>1.0292012490567559</v>
      </c>
      <c r="H37" s="95"/>
      <c r="I37" s="93">
        <f>AVERAGE(I31:I35)</f>
        <v>1.7473832088475731</v>
      </c>
      <c r="J37" s="11"/>
      <c r="K37" s="11"/>
      <c r="L37" s="11"/>
      <c r="M37" s="11"/>
      <c r="N37" s="11"/>
      <c r="O37" s="11"/>
      <c r="P37" s="11"/>
      <c r="Q37" s="11"/>
      <c r="R37" s="11"/>
      <c r="S37" s="11"/>
      <c r="T37" s="11"/>
      <c r="U37" s="11"/>
      <c r="V37" s="11"/>
      <c r="W37" s="11"/>
      <c r="X37" s="11"/>
      <c r="Y37" s="11"/>
      <c r="Z37" s="11"/>
      <c r="AA37" s="11"/>
    </row>
    <row r="38" spans="2:27" s="79" customFormat="1" ht="18" customHeight="1" outlineLevel="1" x14ac:dyDescent="0.25">
      <c r="B38" s="96" t="s">
        <v>38</v>
      </c>
      <c r="C38" s="97"/>
      <c r="D38" s="97"/>
      <c r="E38" s="97"/>
      <c r="F38" s="97"/>
      <c r="G38" s="97"/>
      <c r="H38" s="97"/>
      <c r="I38" s="97"/>
      <c r="J38" s="11"/>
      <c r="K38" s="11"/>
      <c r="L38" s="11"/>
      <c r="M38" s="11"/>
      <c r="N38" s="11"/>
      <c r="O38" s="11"/>
      <c r="P38" s="11"/>
      <c r="Q38" s="11"/>
      <c r="R38" s="11"/>
      <c r="S38" s="11"/>
      <c r="T38" s="11"/>
      <c r="U38" s="11"/>
      <c r="V38" s="11"/>
      <c r="W38" s="11"/>
      <c r="X38" s="11"/>
      <c r="Y38" s="11"/>
      <c r="Z38" s="11"/>
      <c r="AA38" s="11"/>
    </row>
    <row r="39" spans="2:27" s="79" customFormat="1" ht="18" customHeight="1" outlineLevel="1" x14ac:dyDescent="0.25">
      <c r="B39" s="96" t="s">
        <v>39</v>
      </c>
      <c r="C39" s="97"/>
      <c r="D39" s="97"/>
      <c r="E39" s="97"/>
      <c r="F39" s="97"/>
      <c r="G39" s="97"/>
      <c r="H39" s="97"/>
      <c r="I39" s="97"/>
      <c r="J39" s="11"/>
      <c r="K39" s="11"/>
      <c r="L39" s="11"/>
      <c r="M39" s="11"/>
      <c r="N39" s="11"/>
      <c r="O39" s="11"/>
      <c r="P39" s="11"/>
      <c r="Q39" s="11"/>
      <c r="R39" s="11"/>
      <c r="S39" s="11"/>
      <c r="T39" s="11"/>
      <c r="U39" s="11"/>
      <c r="V39" s="11"/>
      <c r="W39" s="11"/>
      <c r="X39" s="11"/>
      <c r="Y39" s="11"/>
      <c r="Z39" s="11"/>
      <c r="AA39" s="11"/>
    </row>
    <row r="40" spans="2:27" s="79" customFormat="1" ht="18" customHeight="1" outlineLevel="1" x14ac:dyDescent="0.25">
      <c r="B40" s="96" t="s">
        <v>40</v>
      </c>
      <c r="C40" s="97"/>
      <c r="D40" s="97"/>
      <c r="E40" s="97"/>
      <c r="F40" s="97"/>
      <c r="G40" s="97"/>
      <c r="H40" s="97"/>
      <c r="I40" s="97"/>
      <c r="L40" s="97"/>
      <c r="M40" s="97"/>
      <c r="N40" s="97"/>
      <c r="O40" s="97"/>
      <c r="P40" s="97"/>
      <c r="Q40" s="97"/>
      <c r="R40" s="97"/>
    </row>
    <row r="41" spans="2:27" s="79" customFormat="1" ht="18" customHeight="1" outlineLevel="1" x14ac:dyDescent="0.25">
      <c r="B41" s="96" t="s">
        <v>41</v>
      </c>
      <c r="C41" s="97"/>
      <c r="D41" s="97"/>
      <c r="E41" s="97"/>
      <c r="F41" s="97"/>
      <c r="G41" s="97"/>
      <c r="H41" s="97"/>
      <c r="I41" s="97"/>
      <c r="L41" s="97"/>
      <c r="M41" s="97"/>
      <c r="N41" s="97"/>
      <c r="O41" s="97"/>
      <c r="P41" s="97"/>
      <c r="Q41" s="97"/>
      <c r="R41" s="97"/>
    </row>
    <row r="42" spans="2:27" s="79" customFormat="1" ht="45" customHeight="1" outlineLevel="1" x14ac:dyDescent="0.25">
      <c r="B42" s="98" t="s">
        <v>42</v>
      </c>
      <c r="C42" s="99"/>
      <c r="D42" s="100" t="s">
        <v>43</v>
      </c>
      <c r="E42" s="100" t="s">
        <v>44</v>
      </c>
      <c r="F42" s="100" t="s">
        <v>45</v>
      </c>
      <c r="G42" s="101" t="s">
        <v>42</v>
      </c>
      <c r="H42" s="102"/>
      <c r="I42" s="97"/>
      <c r="L42" s="103"/>
      <c r="M42" s="104"/>
      <c r="N42" s="104"/>
      <c r="O42" s="104"/>
      <c r="P42" s="104"/>
      <c r="Q42" s="102"/>
      <c r="R42" s="97"/>
    </row>
    <row r="43" spans="2:27" s="79" customFormat="1" ht="18" customHeight="1" outlineLevel="1" x14ac:dyDescent="0.25">
      <c r="B43" s="105" t="s">
        <v>46</v>
      </c>
      <c r="C43" s="106"/>
      <c r="D43" s="107">
        <f>I37</f>
        <v>1.7473832088475731</v>
      </c>
      <c r="E43" s="108">
        <f>F37</f>
        <v>-2.7562817042578569E-2</v>
      </c>
      <c r="F43" s="109">
        <f>SNAP_DCF!C6</f>
        <v>0</v>
      </c>
      <c r="G43" s="110">
        <f>D43*(1+(E43)*(1-F43))</f>
        <v>1.6992204051588335</v>
      </c>
      <c r="H43" s="97"/>
      <c r="I43" s="97"/>
      <c r="P43" s="111"/>
      <c r="Q43" s="97"/>
      <c r="R43" s="97"/>
    </row>
    <row r="44" spans="2:27" ht="14.95" customHeight="1" x14ac:dyDescent="0.25">
      <c r="C44" s="112"/>
      <c r="D44" s="113"/>
      <c r="E44" s="113"/>
      <c r="F44" s="113"/>
    </row>
    <row r="45" spans="2:27" s="5" customFormat="1" ht="25.15" customHeight="1" outlineLevel="1" x14ac:dyDescent="0.25">
      <c r="B45" s="74" t="s">
        <v>47</v>
      </c>
      <c r="C45" s="7"/>
      <c r="D45" s="7"/>
      <c r="E45" s="7"/>
      <c r="F45" s="7"/>
      <c r="G45" s="7"/>
      <c r="H45" s="7"/>
      <c r="I45" s="7"/>
    </row>
    <row r="46" spans="2:27" s="5" customFormat="1" ht="18" customHeight="1" outlineLevel="1" x14ac:dyDescent="0.25">
      <c r="B46" s="76" t="s">
        <v>48</v>
      </c>
      <c r="C46" s="7"/>
      <c r="D46" s="7"/>
      <c r="E46" s="7"/>
      <c r="F46" s="7"/>
      <c r="G46" s="7"/>
      <c r="H46" s="7"/>
      <c r="I46" s="7"/>
    </row>
    <row r="47" spans="2:27" s="117" customFormat="1" ht="18" customHeight="1" outlineLevel="1" x14ac:dyDescent="0.25">
      <c r="B47" s="115" t="s">
        <v>49</v>
      </c>
      <c r="C47" s="116"/>
      <c r="D47" s="11"/>
      <c r="E47" s="11"/>
      <c r="F47" s="11"/>
      <c r="G47" s="11"/>
      <c r="H47" s="11"/>
      <c r="I47" s="11"/>
      <c r="J47" s="17"/>
    </row>
    <row r="48" spans="2:27" s="117" customFormat="1" ht="18" customHeight="1" outlineLevel="1" x14ac:dyDescent="0.25">
      <c r="B48" s="118" t="s">
        <v>50</v>
      </c>
      <c r="C48" s="119">
        <f>1-C49</f>
        <v>-2.9201249056755918E-2</v>
      </c>
      <c r="D48" s="11"/>
      <c r="E48" s="11"/>
      <c r="F48" s="11"/>
      <c r="G48" s="11"/>
      <c r="H48" s="11"/>
      <c r="I48" s="11"/>
      <c r="J48" s="17"/>
    </row>
    <row r="49" spans="2:13" s="117" customFormat="1" ht="18" customHeight="1" outlineLevel="1" x14ac:dyDescent="0.25">
      <c r="B49" s="118" t="s">
        <v>51</v>
      </c>
      <c r="C49" s="119">
        <f>SNAP_DCF!G37</f>
        <v>1.0292012490567559</v>
      </c>
      <c r="D49" s="11"/>
      <c r="E49" s="11"/>
      <c r="F49" s="11"/>
      <c r="G49" s="11"/>
      <c r="H49" s="11"/>
      <c r="I49" s="11"/>
      <c r="J49" s="17"/>
    </row>
    <row r="50" spans="2:13" s="117" customFormat="1" ht="18" customHeight="1" outlineLevel="1" x14ac:dyDescent="0.25">
      <c r="B50" s="118" t="s">
        <v>52</v>
      </c>
      <c r="C50" s="119">
        <f>SNAP_DCF!F37</f>
        <v>-2.7562817042578569E-2</v>
      </c>
      <c r="D50" s="11"/>
      <c r="E50" s="11"/>
      <c r="F50" s="11"/>
      <c r="G50" s="11"/>
      <c r="H50" s="11"/>
      <c r="I50" s="11"/>
      <c r="J50" s="17"/>
    </row>
    <row r="51" spans="2:13" s="117" customFormat="1" ht="18" customHeight="1" outlineLevel="1" x14ac:dyDescent="0.25">
      <c r="B51" s="115" t="s">
        <v>53</v>
      </c>
      <c r="C51" s="120"/>
      <c r="D51" s="11"/>
      <c r="E51" s="11"/>
      <c r="F51" s="11"/>
      <c r="G51" s="11"/>
      <c r="H51" s="11"/>
      <c r="I51" s="11"/>
      <c r="J51" s="17"/>
    </row>
    <row r="52" spans="2:13" s="117" customFormat="1" ht="18" customHeight="1" outlineLevel="1" x14ac:dyDescent="0.25">
      <c r="B52" s="118" t="s">
        <v>54</v>
      </c>
      <c r="C52" s="121">
        <f t="array" aca="1" ref="C52" ca="1">_FV(F4,"Yield yesterday",TRUE)</f>
        <v>4.1570000000000003E-2</v>
      </c>
      <c r="D52" s="11"/>
      <c r="E52" s="11"/>
      <c r="F52" s="11"/>
      <c r="G52" s="11"/>
      <c r="H52" s="11"/>
      <c r="I52" s="11"/>
      <c r="J52" s="17"/>
    </row>
    <row r="53" spans="2:13" s="117" customFormat="1" ht="18" customHeight="1" outlineLevel="1" x14ac:dyDescent="0.25">
      <c r="B53" s="118" t="s">
        <v>55</v>
      </c>
      <c r="C53" s="121">
        <f>F5</f>
        <v>0.05</v>
      </c>
      <c r="D53" s="11"/>
      <c r="E53" s="11"/>
      <c r="F53" s="11"/>
      <c r="G53" s="11"/>
      <c r="H53" s="11"/>
      <c r="I53" s="11"/>
      <c r="J53" s="17"/>
    </row>
    <row r="54" spans="2:13" s="117" customFormat="1" ht="18" customHeight="1" outlineLevel="1" x14ac:dyDescent="0.25">
      <c r="B54" s="118" t="s">
        <v>56</v>
      </c>
      <c r="C54" s="122">
        <f>SNAP_DCF!G43</f>
        <v>1.6992204051588335</v>
      </c>
      <c r="D54" s="11"/>
      <c r="E54" s="11"/>
      <c r="F54" s="11"/>
      <c r="G54" s="11"/>
      <c r="H54" s="11"/>
      <c r="I54" s="11"/>
      <c r="J54" s="17"/>
    </row>
    <row r="55" spans="2:13" s="117" customFormat="1" ht="18" customHeight="1" outlineLevel="1" x14ac:dyDescent="0.25">
      <c r="B55" s="123" t="s">
        <v>57</v>
      </c>
      <c r="C55" s="124">
        <v>0.7</v>
      </c>
      <c r="D55" s="11"/>
      <c r="E55" s="11"/>
      <c r="F55" s="11"/>
      <c r="G55" s="11"/>
      <c r="H55" s="11"/>
      <c r="I55" s="11"/>
      <c r="J55" s="17"/>
    </row>
    <row r="56" spans="2:13" s="117" customFormat="1" ht="18" customHeight="1" outlineLevel="1" x14ac:dyDescent="0.25">
      <c r="B56" s="125" t="s">
        <v>53</v>
      </c>
      <c r="C56" s="126">
        <f ca="1">C52+(C54*C53)+C55</f>
        <v>0.82653102025794167</v>
      </c>
      <c r="D56" s="11"/>
      <c r="E56" s="11"/>
      <c r="F56" s="11"/>
      <c r="G56" s="11"/>
      <c r="H56" s="11"/>
      <c r="I56" s="11"/>
      <c r="J56" s="17"/>
    </row>
    <row r="57" spans="2:13" s="117" customFormat="1" ht="18" customHeight="1" outlineLevel="1" x14ac:dyDescent="0.25">
      <c r="B57" s="127" t="s">
        <v>58</v>
      </c>
      <c r="C57" s="128"/>
      <c r="D57" s="11"/>
      <c r="E57" s="11"/>
      <c r="F57" s="11"/>
      <c r="G57" s="11"/>
      <c r="H57" s="11"/>
      <c r="I57" s="11"/>
      <c r="J57" s="17"/>
    </row>
    <row r="58" spans="2:13" s="117" customFormat="1" ht="18" customHeight="1" outlineLevel="1" x14ac:dyDescent="0.25">
      <c r="B58" s="129" t="s">
        <v>59</v>
      </c>
      <c r="C58" s="130">
        <v>5.9738610317827037E-3</v>
      </c>
      <c r="D58" s="11"/>
      <c r="E58" s="11"/>
      <c r="F58" s="11"/>
      <c r="G58" s="11"/>
      <c r="H58" s="11"/>
      <c r="I58" s="11"/>
      <c r="J58" s="17"/>
    </row>
    <row r="59" spans="2:13" s="117" customFormat="1" ht="18" customHeight="1" outlineLevel="1" x14ac:dyDescent="0.25">
      <c r="B59" s="131" t="s">
        <v>60</v>
      </c>
      <c r="C59" s="132">
        <f>SNAP_DCF!C6</f>
        <v>0</v>
      </c>
      <c r="D59" s="11"/>
      <c r="E59" s="11"/>
      <c r="F59" s="11"/>
      <c r="G59" s="11"/>
      <c r="H59" s="11"/>
      <c r="I59" s="11"/>
      <c r="J59" s="17"/>
    </row>
    <row r="60" spans="2:13" s="117" customFormat="1" ht="18" customHeight="1" outlineLevel="1" x14ac:dyDescent="0.25">
      <c r="B60" s="125" t="s">
        <v>61</v>
      </c>
      <c r="C60" s="133">
        <f>C58*(1-C59)</f>
        <v>5.9738610317827037E-3</v>
      </c>
      <c r="D60" s="11"/>
      <c r="E60" s="11"/>
      <c r="F60" s="11"/>
      <c r="G60" s="11"/>
      <c r="H60" s="11"/>
      <c r="I60" s="11"/>
      <c r="J60" s="17"/>
    </row>
    <row r="61" spans="2:13" s="117" customFormat="1" ht="18" customHeight="1" outlineLevel="1" thickBot="1" x14ac:dyDescent="0.3">
      <c r="B61" s="134" t="s">
        <v>62</v>
      </c>
      <c r="C61" s="135">
        <f ca="1">(C60*C48)+(C56*C49)</f>
        <v>0.85049231422980887</v>
      </c>
      <c r="D61" s="11"/>
      <c r="E61" s="11"/>
      <c r="F61" s="11"/>
      <c r="G61" s="11"/>
      <c r="H61" s="11"/>
      <c r="I61" s="11"/>
      <c r="J61" s="17"/>
    </row>
    <row r="62" spans="2:13" s="26" customFormat="1" ht="12.1" customHeight="1" outlineLevel="1" thickTop="1" x14ac:dyDescent="0.25">
      <c r="B62" s="136"/>
      <c r="C62" s="137"/>
      <c r="D62" s="137"/>
      <c r="E62" s="137"/>
      <c r="F62" s="137"/>
      <c r="G62" s="138"/>
      <c r="H62" s="138"/>
      <c r="I62" s="138"/>
      <c r="J62" s="138"/>
      <c r="K62" s="138"/>
      <c r="L62" s="137"/>
      <c r="M62" s="137"/>
    </row>
    <row r="63" spans="2:13" s="5" customFormat="1" ht="25.15" customHeight="1" outlineLevel="1" x14ac:dyDescent="0.25">
      <c r="B63" s="139"/>
      <c r="C63" s="7"/>
      <c r="D63" s="7"/>
      <c r="E63" s="7"/>
      <c r="F63" s="7"/>
      <c r="G63" s="7"/>
      <c r="H63" s="7"/>
      <c r="I63" s="7"/>
    </row>
    <row r="64" spans="2:13" s="26" customFormat="1" ht="12.1" customHeight="1" outlineLevel="1" x14ac:dyDescent="0.25">
      <c r="B64" s="136"/>
      <c r="C64" s="137"/>
      <c r="D64" s="137"/>
      <c r="E64" s="137"/>
      <c r="F64" s="137"/>
      <c r="G64" s="138"/>
      <c r="H64" s="138"/>
      <c r="I64" s="138"/>
      <c r="J64" s="138"/>
      <c r="K64" s="138"/>
      <c r="L64" s="137"/>
      <c r="M64" s="137"/>
    </row>
    <row r="65" spans="2:20" s="26" customFormat="1" ht="18" customHeight="1" x14ac:dyDescent="0.25">
      <c r="B65" s="62" t="s">
        <v>63</v>
      </c>
      <c r="C65" s="63">
        <f>C21</f>
        <v>-456695000</v>
      </c>
      <c r="D65" s="63">
        <f>D21</f>
        <v>-1379238000</v>
      </c>
      <c r="E65" s="63">
        <f>E21</f>
        <v>-1272399000</v>
      </c>
      <c r="F65" s="63">
        <f>F21</f>
        <v>-650674000</v>
      </c>
      <c r="G65" s="65">
        <f>G22+G24</f>
        <v>7470262708.8302326</v>
      </c>
      <c r="H65" s="65">
        <f>H22+H24</f>
        <v>8049147220.2629623</v>
      </c>
      <c r="I65" s="65">
        <f>I22+I24</f>
        <v>8619048518.7368622</v>
      </c>
      <c r="J65" s="65">
        <f>J22+J24</f>
        <v>9172477723.3597965</v>
      </c>
      <c r="K65" s="66">
        <f>K22+K24</f>
        <v>9702075836.0739632</v>
      </c>
      <c r="L65" s="67">
        <f>(F65/C65)^(1/3)-1</f>
        <v>0.12524147706450317</v>
      </c>
      <c r="M65" s="67">
        <f>(K65/G65)^(1/4)-1</f>
        <v>6.7535183993596481E-2</v>
      </c>
    </row>
    <row r="66" spans="2:20" s="26" customFormat="1" ht="18" customHeight="1" x14ac:dyDescent="0.25">
      <c r="B66" s="32" t="s">
        <v>64</v>
      </c>
      <c r="C66" s="140">
        <f>C65*C6</f>
        <v>0</v>
      </c>
      <c r="D66" s="140">
        <f>D65*C6</f>
        <v>0</v>
      </c>
      <c r="E66" s="140">
        <f>E65*C6</f>
        <v>0</v>
      </c>
      <c r="F66" s="140">
        <f>F65*C6</f>
        <v>0</v>
      </c>
      <c r="G66" s="35">
        <f>SNAP_DCF!$C$59*-G65</f>
        <v>0</v>
      </c>
      <c r="H66" s="35">
        <f>SNAP_DCF!$C$59*-H65</f>
        <v>0</v>
      </c>
      <c r="I66" s="35">
        <f>SNAP_DCF!$C$59*-I65</f>
        <v>0</v>
      </c>
      <c r="J66" s="35">
        <f>SNAP_DCF!$C$59*-J65</f>
        <v>0</v>
      </c>
      <c r="K66" s="36">
        <f>SNAP_DCF!$C$59*-K65</f>
        <v>0</v>
      </c>
      <c r="L66" s="49" t="str">
        <f>IFERROR((F66/C66)^(1/3)-1,"N/A")</f>
        <v>N/A</v>
      </c>
      <c r="M66" s="49" t="str">
        <f>IFERROR((K66/G66)^(1/4)-1,"N/A")</f>
        <v>N/A</v>
      </c>
    </row>
    <row r="67" spans="2:20" s="26" customFormat="1" ht="18" customHeight="1" x14ac:dyDescent="0.25">
      <c r="B67" s="32" t="s">
        <v>65</v>
      </c>
      <c r="C67" s="33">
        <v>69875000</v>
      </c>
      <c r="D67" s="33">
        <v>129306000</v>
      </c>
      <c r="E67" s="33">
        <v>211727000</v>
      </c>
      <c r="F67" s="34">
        <v>194826000</v>
      </c>
      <c r="G67" s="35">
        <f>-(G68*G11)</f>
        <v>215081483.49684209</v>
      </c>
      <c r="H67" s="35">
        <f>-(H68*H11)</f>
        <v>232307115.56973892</v>
      </c>
      <c r="I67" s="35">
        <f>-(I68*I11)</f>
        <v>248589257.82274944</v>
      </c>
      <c r="J67" s="35">
        <f>-(J68*J11)</f>
        <v>263526704.38122287</v>
      </c>
      <c r="K67" s="36">
        <f>-(K68*K11)</f>
        <v>276726458.11788177</v>
      </c>
      <c r="L67" s="140">
        <f>IFERROR((F67/C67)^(1/3)-1,"N/A")</f>
        <v>0.40747826740953896</v>
      </c>
      <c r="M67" s="140">
        <f>IFERROR((K67/G67)^(1/4)-1,"n.a.")</f>
        <v>6.5030181587889313E-2</v>
      </c>
      <c r="P67" s="229"/>
      <c r="Q67" s="228"/>
      <c r="R67" s="228"/>
      <c r="S67" s="228"/>
      <c r="T67" s="228"/>
    </row>
    <row r="68" spans="2:20" s="26" customFormat="1" ht="18" customHeight="1" x14ac:dyDescent="0.25">
      <c r="B68" s="38" t="s">
        <v>19</v>
      </c>
      <c r="C68" s="140"/>
      <c r="D68" s="37">
        <f>-D67/D11</f>
        <v>-2.8098717753980085E-2</v>
      </c>
      <c r="E68" s="37">
        <f>-E67/E11</f>
        <v>-4.5966503224517841E-2</v>
      </c>
      <c r="F68" s="56">
        <f>-F67/F11</f>
        <v>-3.6338656447441504E-2</v>
      </c>
      <c r="G68" s="57">
        <f>AVERAGE(D68:F68)</f>
        <v>-3.6801292475313142E-2</v>
      </c>
      <c r="H68" s="57">
        <f>G68</f>
        <v>-3.6801292475313142E-2</v>
      </c>
      <c r="I68" s="57">
        <f>H68</f>
        <v>-3.6801292475313142E-2</v>
      </c>
      <c r="J68" s="57">
        <f>I68</f>
        <v>-3.6801292475313142E-2</v>
      </c>
      <c r="K68" s="58">
        <f>J68</f>
        <v>-3.6801292475313142E-2</v>
      </c>
      <c r="L68" s="37"/>
      <c r="M68" s="37"/>
      <c r="N68" s="141"/>
      <c r="O68" s="141"/>
      <c r="P68" s="142"/>
      <c r="Q68" s="142"/>
      <c r="R68" s="142"/>
      <c r="S68" s="142"/>
      <c r="T68" s="142"/>
    </row>
    <row r="69" spans="2:20" s="26" customFormat="1" ht="18" customHeight="1" x14ac:dyDescent="0.25">
      <c r="B69" s="32" t="s">
        <v>66</v>
      </c>
      <c r="C69" s="33">
        <v>-537391000</v>
      </c>
      <c r="D69" s="33">
        <v>-802126999</v>
      </c>
      <c r="E69" s="33">
        <v>-558542999</v>
      </c>
      <c r="F69" s="34">
        <v>-714479000</v>
      </c>
      <c r="G69" s="35">
        <f>G70*G11</f>
        <v>-778845602.7647047</v>
      </c>
      <c r="H69" s="35">
        <f>H70*H11</f>
        <v>-841222463.74174607</v>
      </c>
      <c r="I69" s="35">
        <f>I70*I11</f>
        <v>-900182792.130651</v>
      </c>
      <c r="J69" s="35">
        <f>J70*J11</f>
        <v>-954273755.14360893</v>
      </c>
      <c r="K69" s="36">
        <f>K70*K11</f>
        <v>-1002072245.2238799</v>
      </c>
      <c r="L69" s="140"/>
      <c r="M69" s="140"/>
    </row>
    <row r="70" spans="2:20" s="26" customFormat="1" ht="18" customHeight="1" x14ac:dyDescent="0.25">
      <c r="B70" s="38" t="s">
        <v>19</v>
      </c>
      <c r="C70" s="37">
        <f>C69/C11</f>
        <v>-0.13052823285033355</v>
      </c>
      <c r="D70" s="37">
        <f>D69/D11</f>
        <v>-0.17430544713894225</v>
      </c>
      <c r="E70" s="37">
        <f>E69/E11</f>
        <v>-0.12126119278394049</v>
      </c>
      <c r="F70" s="56">
        <f>F69/F11</f>
        <v>-0.13326356297368708</v>
      </c>
      <c r="G70" s="57">
        <f>F70</f>
        <v>-0.13326356297368708</v>
      </c>
      <c r="H70" s="57">
        <f>G70</f>
        <v>-0.13326356297368708</v>
      </c>
      <c r="I70" s="57">
        <f>H70</f>
        <v>-0.13326356297368708</v>
      </c>
      <c r="J70" s="57">
        <f>I70</f>
        <v>-0.13326356297368708</v>
      </c>
      <c r="K70" s="58">
        <f>J70</f>
        <v>-0.13326356297368708</v>
      </c>
      <c r="L70" s="140"/>
      <c r="M70" s="140"/>
    </row>
    <row r="71" spans="2:20" s="26" customFormat="1" ht="18" customHeight="1" x14ac:dyDescent="0.25">
      <c r="B71" s="32" t="s">
        <v>67</v>
      </c>
      <c r="C71" s="143"/>
      <c r="D71" s="140">
        <f t="shared" ref="D71:K71" si="4">C69-D69</f>
        <v>264735999</v>
      </c>
      <c r="E71" s="140">
        <f t="shared" si="4"/>
        <v>-243584000</v>
      </c>
      <c r="F71" s="144">
        <f t="shared" si="4"/>
        <v>155936001</v>
      </c>
      <c r="G71" s="35">
        <f t="shared" si="4"/>
        <v>64366602.764704704</v>
      </c>
      <c r="H71" s="35">
        <f t="shared" si="4"/>
        <v>62376860.977041364</v>
      </c>
      <c r="I71" s="35">
        <f t="shared" si="4"/>
        <v>58960328.388904929</v>
      </c>
      <c r="J71" s="35">
        <f t="shared" si="4"/>
        <v>54090963.012957931</v>
      </c>
      <c r="K71" s="36">
        <f t="shared" si="4"/>
        <v>47798490.080271006</v>
      </c>
      <c r="L71" s="145"/>
      <c r="M71" s="145"/>
      <c r="N71" s="146"/>
      <c r="O71" s="142"/>
      <c r="P71" s="147"/>
      <c r="Q71" s="147"/>
      <c r="R71" s="147"/>
      <c r="S71" s="147"/>
      <c r="T71" s="147"/>
    </row>
    <row r="72" spans="2:20" s="26" customFormat="1" ht="18" customHeight="1" x14ac:dyDescent="0.25">
      <c r="B72" s="62" t="s">
        <v>68</v>
      </c>
      <c r="C72" s="63"/>
      <c r="D72" s="63">
        <f t="shared" ref="D72:K72" si="5">D22+D66+D67+D71</f>
        <v>-783023001</v>
      </c>
      <c r="E72" s="63">
        <f t="shared" si="5"/>
        <v>-1135815000</v>
      </c>
      <c r="F72" s="64">
        <f t="shared" si="5"/>
        <v>-141837999</v>
      </c>
      <c r="G72" s="65">
        <f t="shared" si="5"/>
        <v>7546728653.5987492</v>
      </c>
      <c r="H72" s="65">
        <f t="shared" si="5"/>
        <v>8124592445.8221121</v>
      </c>
      <c r="I72" s="65">
        <f t="shared" si="5"/>
        <v>8691993158.5596027</v>
      </c>
      <c r="J72" s="65">
        <f t="shared" si="5"/>
        <v>9241393299.2199726</v>
      </c>
      <c r="K72" s="66">
        <f t="shared" si="5"/>
        <v>9765441487.0452404</v>
      </c>
      <c r="L72" s="63"/>
      <c r="M72" s="63"/>
      <c r="N72" s="146"/>
      <c r="O72" s="142"/>
      <c r="P72" s="147"/>
      <c r="Q72" s="147"/>
      <c r="R72" s="147"/>
      <c r="S72" s="147"/>
      <c r="T72" s="147"/>
    </row>
    <row r="73" spans="2:20" s="26" customFormat="1" ht="18" customHeight="1" x14ac:dyDescent="0.25">
      <c r="B73" s="32" t="s">
        <v>62</v>
      </c>
      <c r="C73" s="148"/>
      <c r="D73" s="140"/>
      <c r="E73" s="140"/>
      <c r="F73" s="144"/>
      <c r="G73" s="149">
        <f ca="1">WACC</f>
        <v>0.85049231422980887</v>
      </c>
      <c r="H73" s="149">
        <f ca="1">WACC</f>
        <v>0.85049231422980887</v>
      </c>
      <c r="I73" s="149">
        <f ca="1">WACC</f>
        <v>0.85049231422980887</v>
      </c>
      <c r="J73" s="149">
        <f ca="1">WACC</f>
        <v>0.85049231422980887</v>
      </c>
      <c r="K73" s="120">
        <f ca="1">WACC</f>
        <v>0.85049231422980887</v>
      </c>
      <c r="L73" s="140"/>
      <c r="M73" s="140"/>
    </row>
    <row r="74" spans="2:20" s="26" customFormat="1" ht="18" customHeight="1" x14ac:dyDescent="0.25">
      <c r="B74" s="32" t="s">
        <v>69</v>
      </c>
      <c r="C74" s="140"/>
      <c r="D74" s="140"/>
      <c r="E74" s="140"/>
      <c r="F74" s="144"/>
      <c r="G74" s="150">
        <f ca="1">1 / (1 +WACC)^1</f>
        <v>0.54039673243182784</v>
      </c>
      <c r="H74" s="151">
        <f ca="1">G74+1</f>
        <v>1.540396732431828</v>
      </c>
      <c r="I74" s="151">
        <f ca="1">H74+1</f>
        <v>2.540396732431828</v>
      </c>
      <c r="J74" s="151">
        <f ca="1">I74+1</f>
        <v>3.540396732431828</v>
      </c>
      <c r="K74" s="152">
        <f ca="1">J74+1</f>
        <v>4.5403967324318284</v>
      </c>
      <c r="L74" s="140"/>
      <c r="M74" s="140"/>
    </row>
    <row r="75" spans="2:20" s="26" customFormat="1" ht="18" customHeight="1" x14ac:dyDescent="0.25">
      <c r="B75" s="32" t="s">
        <v>70</v>
      </c>
      <c r="C75" s="140"/>
      <c r="D75" s="140"/>
      <c r="E75" s="140"/>
      <c r="F75" s="144"/>
      <c r="G75" s="153">
        <f ca="1">1/((1+G73)^G74)</f>
        <v>0.71706549391580687</v>
      </c>
      <c r="H75" s="153">
        <f ca="1">1/((1+H73)^H74)</f>
        <v>0.38749984985171682</v>
      </c>
      <c r="I75" s="153">
        <f ca="1">1/((1+I73)^I74)</f>
        <v>0.20940365267769168</v>
      </c>
      <c r="J75" s="153">
        <f ca="1">1/((1+J73)^J74)</f>
        <v>0.11316104966631398</v>
      </c>
      <c r="K75" s="122">
        <f ca="1">1/((1+K73)^K74)</f>
        <v>6.1151861478231838E-2</v>
      </c>
      <c r="L75" s="140"/>
      <c r="M75" s="140"/>
    </row>
    <row r="76" spans="2:20" s="26" customFormat="1" ht="18" customHeight="1" thickBot="1" x14ac:dyDescent="0.3">
      <c r="B76" s="154" t="s">
        <v>71</v>
      </c>
      <c r="C76" s="155"/>
      <c r="D76" s="155"/>
      <c r="E76" s="155"/>
      <c r="F76" s="156"/>
      <c r="G76" s="157">
        <f ca="1">G75*G72</f>
        <v>5411498709.4413595</v>
      </c>
      <c r="H76" s="157">
        <f ca="1">H75*H72</f>
        <v>3148278352.8624611</v>
      </c>
      <c r="I76" s="157">
        <f ca="1">I75*I72</f>
        <v>1820135116.4518874</v>
      </c>
      <c r="J76" s="157">
        <f ca="1">J75*J72</f>
        <v>1045765766.1189725</v>
      </c>
      <c r="K76" s="158">
        <f ca="1">K75*K72</f>
        <v>597174925.08956885</v>
      </c>
      <c r="L76" s="155"/>
      <c r="M76" s="155"/>
      <c r="N76" s="146"/>
      <c r="O76" s="142"/>
      <c r="P76" s="147"/>
      <c r="Q76" s="147"/>
      <c r="R76" s="147"/>
      <c r="S76" s="147"/>
      <c r="T76" s="147"/>
    </row>
    <row r="77" spans="2:20" s="26" customFormat="1" ht="18" customHeight="1" thickTop="1" x14ac:dyDescent="0.25">
      <c r="B77" s="136"/>
      <c r="C77" s="137"/>
      <c r="D77" s="137"/>
      <c r="E77" s="137"/>
      <c r="F77" s="137"/>
      <c r="G77" s="138"/>
      <c r="H77" s="138"/>
      <c r="I77" s="138"/>
      <c r="J77" s="138"/>
      <c r="K77" s="138"/>
      <c r="L77" s="137"/>
      <c r="M77" s="137"/>
    </row>
    <row r="78" spans="2:20" s="26" customFormat="1" ht="18" customHeight="1" x14ac:dyDescent="0.25">
      <c r="B78" s="159" t="s">
        <v>72</v>
      </c>
      <c r="C78" s="159"/>
      <c r="D78" s="137"/>
      <c r="E78" s="7" t="s">
        <v>73</v>
      </c>
      <c r="F78" s="8"/>
      <c r="G78" s="160">
        <f>F10</f>
        <v>2024</v>
      </c>
      <c r="H78" s="161">
        <f>G10</f>
        <v>2025</v>
      </c>
      <c r="I78" s="161">
        <f>H10</f>
        <v>2026</v>
      </c>
      <c r="J78" s="161">
        <f>I10</f>
        <v>2027</v>
      </c>
      <c r="K78" s="161">
        <f>J10</f>
        <v>2028</v>
      </c>
      <c r="L78" s="137"/>
      <c r="M78" s="137"/>
    </row>
    <row r="79" spans="2:20" s="26" customFormat="1" ht="18" customHeight="1" x14ac:dyDescent="0.25">
      <c r="B79" s="162" t="s">
        <v>74</v>
      </c>
      <c r="C79" s="163">
        <f ca="1">SUM(SNAP_DCF!G76:K76)+SNAP_DCF!C95</f>
        <v>12562018841.931761</v>
      </c>
      <c r="D79" s="137"/>
      <c r="E79" s="164" t="s">
        <v>75</v>
      </c>
      <c r="F79" s="164"/>
      <c r="G79" s="165">
        <f ca="1">EV/F11</f>
        <v>2.3430491155351199</v>
      </c>
      <c r="H79" s="165">
        <f ca="1">EV/G11</f>
        <v>2.14941110674045</v>
      </c>
      <c r="I79" s="165">
        <f ca="1">EV/H11</f>
        <v>1.9900317230857381</v>
      </c>
      <c r="J79" s="165">
        <f ca="1">EV/I11</f>
        <v>1.8596882807058219</v>
      </c>
      <c r="K79" s="165">
        <f ca="1">EV/J11</f>
        <v>1.7542758354142174</v>
      </c>
      <c r="L79" s="137"/>
      <c r="M79" s="137"/>
    </row>
    <row r="80" spans="2:20" s="26" customFormat="1" ht="18" customHeight="1" outlineLevel="1" x14ac:dyDescent="0.25">
      <c r="B80" s="166" t="s">
        <v>76</v>
      </c>
      <c r="C80" s="167">
        <v>3668814000</v>
      </c>
      <c r="D80" s="137"/>
      <c r="E80" s="168" t="s">
        <v>77</v>
      </c>
      <c r="F80" s="169"/>
      <c r="G80" s="170"/>
      <c r="H80" s="170"/>
      <c r="I80" s="170"/>
      <c r="J80" s="170"/>
      <c r="K80" s="170"/>
      <c r="L80" s="137"/>
      <c r="M80" s="137"/>
    </row>
    <row r="81" spans="2:20" s="26" customFormat="1" ht="18" customHeight="1" outlineLevel="1" x14ac:dyDescent="0.25">
      <c r="B81" s="166" t="s">
        <v>78</v>
      </c>
      <c r="C81" s="167">
        <v>1046534000</v>
      </c>
      <c r="D81" s="137"/>
      <c r="E81" s="168" t="s">
        <v>77</v>
      </c>
      <c r="F81" s="169"/>
      <c r="G81" s="170"/>
      <c r="H81" s="170"/>
      <c r="I81" s="170"/>
      <c r="J81" s="170"/>
      <c r="K81" s="170"/>
      <c r="L81" s="137"/>
      <c r="M81" s="137"/>
    </row>
    <row r="82" spans="2:20" s="26" customFormat="1" ht="18" customHeight="1" outlineLevel="1" x14ac:dyDescent="0.25">
      <c r="B82" s="171" t="s">
        <v>79</v>
      </c>
      <c r="C82" s="172">
        <f>C80-C81</f>
        <v>2622280000</v>
      </c>
      <c r="D82" s="137"/>
      <c r="E82" s="168" t="s">
        <v>77</v>
      </c>
      <c r="F82" s="173"/>
      <c r="G82" s="174"/>
      <c r="H82" s="174"/>
      <c r="I82" s="174"/>
      <c r="J82" s="174"/>
      <c r="K82" s="174"/>
      <c r="L82" s="137"/>
      <c r="M82" s="137"/>
    </row>
    <row r="83" spans="2:20" s="26" customFormat="1" ht="18" customHeight="1" x14ac:dyDescent="0.25">
      <c r="B83" s="169" t="s">
        <v>80</v>
      </c>
      <c r="C83" s="175">
        <f ca="1">C79-C82</f>
        <v>9939738841.9317608</v>
      </c>
      <c r="D83" s="137"/>
      <c r="E83" s="169" t="s">
        <v>81</v>
      </c>
      <c r="F83" s="169"/>
      <c r="G83" s="170">
        <f ca="1">EV/F22</f>
        <v>-25.50145928122566</v>
      </c>
      <c r="H83" s="170">
        <f ca="1">EV/G22</f>
        <v>1.7285721564668584</v>
      </c>
      <c r="I83" s="170">
        <f ca="1">EV/H22</f>
        <v>1.6043634342885738</v>
      </c>
      <c r="J83" s="170">
        <f ca="1">EV/I22</f>
        <v>1.4982531319504055</v>
      </c>
      <c r="K83" s="170">
        <f ca="1">EV/J22</f>
        <v>1.4077022283180816</v>
      </c>
      <c r="L83" s="137"/>
      <c r="M83" s="137"/>
    </row>
    <row r="84" spans="2:20" s="26" customFormat="1" ht="18" customHeight="1" outlineLevel="1" x14ac:dyDescent="0.25">
      <c r="B84" s="166" t="s">
        <v>82</v>
      </c>
      <c r="C84" s="172">
        <v>1659147000</v>
      </c>
      <c r="D84" s="137"/>
      <c r="E84" s="168" t="s">
        <v>77</v>
      </c>
      <c r="F84" s="173"/>
      <c r="G84" s="174"/>
      <c r="H84" s="174"/>
      <c r="I84" s="174"/>
      <c r="J84" s="174"/>
      <c r="K84" s="174"/>
      <c r="L84" s="137"/>
      <c r="M84" s="137"/>
    </row>
    <row r="85" spans="2:20" s="26" customFormat="1" ht="18" customHeight="1" x14ac:dyDescent="0.25">
      <c r="B85" s="176" t="s">
        <v>83</v>
      </c>
      <c r="C85" s="177">
        <f ca="1">C83/C84</f>
        <v>5.9908729256248909</v>
      </c>
      <c r="D85" s="137"/>
      <c r="E85" s="176" t="s">
        <v>63</v>
      </c>
      <c r="F85" s="176"/>
      <c r="G85" s="178">
        <f ca="1">EV/F65</f>
        <v>-19.306163826942157</v>
      </c>
      <c r="H85" s="178">
        <f ca="1">EV/G65</f>
        <v>1.6816033560751233</v>
      </c>
      <c r="I85" s="178">
        <f ca="1">EV/H65</f>
        <v>1.5606645646023312</v>
      </c>
      <c r="J85" s="178">
        <f ca="1">EV/I65</f>
        <v>1.4574716472036693</v>
      </c>
      <c r="K85" s="178">
        <f ca="1">EV/J65</f>
        <v>1.3695338621471631</v>
      </c>
      <c r="L85" s="137"/>
      <c r="M85" s="137"/>
    </row>
    <row r="86" spans="2:20" s="26" customFormat="1" ht="18" customHeight="1" x14ac:dyDescent="0.25">
      <c r="B86" s="8"/>
      <c r="C86" s="8"/>
      <c r="D86" s="137"/>
      <c r="E86" s="7"/>
      <c r="F86" s="8"/>
      <c r="G86" s="8"/>
      <c r="H86" s="8"/>
      <c r="I86" s="8"/>
      <c r="J86" s="8"/>
      <c r="K86" s="8"/>
      <c r="L86" s="137"/>
      <c r="M86" s="137"/>
    </row>
    <row r="87" spans="2:20" s="26" customFormat="1" ht="18" customHeight="1" x14ac:dyDescent="0.25">
      <c r="B87" s="179" t="s">
        <v>84</v>
      </c>
      <c r="C87" s="180"/>
      <c r="D87" s="138"/>
      <c r="M87" s="137"/>
    </row>
    <row r="88" spans="2:20" s="26" customFormat="1" ht="18" customHeight="1" x14ac:dyDescent="0.25">
      <c r="B88" s="181" t="s">
        <v>85</v>
      </c>
      <c r="C88" s="172">
        <f>K72</f>
        <v>9765441487.0452404</v>
      </c>
      <c r="D88" s="182"/>
      <c r="M88" s="182"/>
    </row>
    <row r="89" spans="2:20" s="26" customFormat="1" ht="18" customHeight="1" x14ac:dyDescent="0.25">
      <c r="B89" s="181" t="s">
        <v>86</v>
      </c>
      <c r="C89" s="183">
        <f>F6</f>
        <v>0.02</v>
      </c>
      <c r="D89" s="137"/>
      <c r="M89" s="137"/>
      <c r="N89" s="227"/>
      <c r="O89" s="228"/>
      <c r="P89" s="228"/>
      <c r="Q89" s="228"/>
      <c r="R89" s="228"/>
      <c r="S89" s="228"/>
      <c r="T89" s="228"/>
    </row>
    <row r="90" spans="2:20" s="26" customFormat="1" ht="18" customHeight="1" x14ac:dyDescent="0.25">
      <c r="B90" s="181" t="s">
        <v>87</v>
      </c>
      <c r="C90" s="172">
        <f>K22</f>
        <v>9440916538.8470879</v>
      </c>
      <c r="D90" s="137"/>
      <c r="M90" s="137"/>
      <c r="P90" s="227"/>
      <c r="Q90" s="228"/>
      <c r="R90" s="228"/>
      <c r="S90" s="228"/>
      <c r="T90" s="228"/>
    </row>
    <row r="91" spans="2:20" s="26" customFormat="1" ht="18" customHeight="1" x14ac:dyDescent="0.25">
      <c r="B91" s="181" t="s">
        <v>88</v>
      </c>
      <c r="C91" s="172">
        <f ca="1">C88*(1+C89)/(WACC-C89)</f>
        <v>11993789883.562809</v>
      </c>
      <c r="D91" s="137"/>
      <c r="M91" s="137"/>
      <c r="N91" s="184"/>
      <c r="O91" s="185"/>
      <c r="P91" s="186"/>
      <c r="Q91" s="186"/>
      <c r="R91" s="187"/>
      <c r="S91" s="186"/>
      <c r="T91" s="186"/>
    </row>
    <row r="92" spans="2:20" s="26" customFormat="1" ht="18" customHeight="1" x14ac:dyDescent="0.25">
      <c r="B92" s="188" t="s">
        <v>89</v>
      </c>
      <c r="C92" s="189">
        <f ca="1">(C91*(1+WACC)^0.5)/C90</f>
        <v>1.7281678471816988</v>
      </c>
      <c r="D92" s="137"/>
      <c r="M92" s="137"/>
      <c r="N92" s="190"/>
      <c r="O92" s="186"/>
      <c r="P92" s="191"/>
      <c r="Q92" s="191"/>
      <c r="R92" s="191"/>
      <c r="S92" s="191"/>
      <c r="T92" s="191"/>
    </row>
    <row r="93" spans="2:20" s="26" customFormat="1" ht="18" customHeight="1" x14ac:dyDescent="0.25">
      <c r="B93" s="181" t="s">
        <v>69</v>
      </c>
      <c r="C93" s="192">
        <f ca="1">K74+0.5</f>
        <v>5.0403967324318284</v>
      </c>
      <c r="D93" s="138"/>
      <c r="M93" s="137"/>
      <c r="N93" s="190"/>
      <c r="O93" s="186"/>
      <c r="P93" s="191"/>
      <c r="Q93" s="191"/>
      <c r="R93" s="191"/>
      <c r="S93" s="191"/>
      <c r="T93" s="191"/>
    </row>
    <row r="94" spans="2:20" s="26" customFormat="1" ht="18" customHeight="1" x14ac:dyDescent="0.25">
      <c r="B94" s="181" t="s">
        <v>70</v>
      </c>
      <c r="C94" s="192">
        <f ca="1">1/((1+WACC)^C93)</f>
        <v>4.4953761671815126E-2</v>
      </c>
      <c r="D94" s="182"/>
      <c r="M94" s="137"/>
      <c r="N94" s="190"/>
      <c r="O94" s="187"/>
      <c r="P94" s="191"/>
      <c r="Q94" s="191"/>
      <c r="R94" s="193"/>
      <c r="S94" s="191"/>
      <c r="T94" s="191"/>
    </row>
    <row r="95" spans="2:20" s="26" customFormat="1" ht="18" customHeight="1" x14ac:dyDescent="0.25">
      <c r="B95" s="194" t="s">
        <v>90</v>
      </c>
      <c r="C95" s="195">
        <f ca="1">C91*C94</f>
        <v>539165971.96750987</v>
      </c>
      <c r="D95" s="137"/>
      <c r="M95" s="137"/>
      <c r="N95" s="190"/>
      <c r="O95" s="186"/>
      <c r="P95" s="191"/>
      <c r="Q95" s="191"/>
      <c r="R95" s="191"/>
      <c r="S95" s="191"/>
      <c r="T95" s="191"/>
    </row>
    <row r="96" spans="2:20" s="26" customFormat="1" ht="18" customHeight="1" x14ac:dyDescent="0.25">
      <c r="B96" s="38" t="s">
        <v>91</v>
      </c>
      <c r="C96" s="196">
        <f ca="1">C95/SNAP_DCF!C79</f>
        <v>4.2920328233212401E-2</v>
      </c>
      <c r="D96" s="137"/>
      <c r="M96" s="137"/>
      <c r="N96" s="190"/>
      <c r="O96" s="186"/>
      <c r="P96" s="191"/>
      <c r="Q96" s="191"/>
      <c r="R96" s="191"/>
      <c r="S96" s="191"/>
      <c r="T96" s="191"/>
    </row>
    <row r="97" spans="2:13" x14ac:dyDescent="0.25">
      <c r="B97" s="197"/>
      <c r="C97" s="198"/>
      <c r="D97" s="16"/>
      <c r="L97" s="15"/>
      <c r="M97" s="17"/>
    </row>
    <row r="98" spans="2:13" x14ac:dyDescent="0.25">
      <c r="D98" s="16"/>
      <c r="L98" s="15"/>
      <c r="M98" s="17"/>
    </row>
    <row r="99" spans="2:13" x14ac:dyDescent="0.25">
      <c r="D99" s="16"/>
      <c r="L99" s="15"/>
      <c r="M99" s="17"/>
    </row>
    <row r="100" spans="2:13" x14ac:dyDescent="0.25">
      <c r="D100" s="16"/>
      <c r="L100" s="15"/>
      <c r="M100" s="17"/>
    </row>
    <row r="101" spans="2:13" x14ac:dyDescent="0.25">
      <c r="D101" s="16"/>
      <c r="L101" s="15"/>
      <c r="M101" s="17"/>
    </row>
    <row r="102" spans="2:13" ht="12.9" customHeight="1" x14ac:dyDescent="0.25">
      <c r="B102" s="199"/>
      <c r="C102" s="200"/>
      <c r="D102" s="16"/>
      <c r="L102" s="15"/>
      <c r="M102" s="17"/>
    </row>
    <row r="103" spans="2:13" x14ac:dyDescent="0.25">
      <c r="D103" s="16"/>
      <c r="L103" s="15"/>
      <c r="M103" s="17"/>
    </row>
    <row r="104" spans="2:13" x14ac:dyDescent="0.25">
      <c r="D104" s="16"/>
      <c r="L104" s="15"/>
      <c r="M104" s="17"/>
    </row>
    <row r="105" spans="2:13" x14ac:dyDescent="0.25">
      <c r="D105" s="16"/>
      <c r="E105" s="201"/>
      <c r="F105" s="17"/>
      <c r="G105" s="17"/>
      <c r="H105" s="17"/>
      <c r="I105" s="17"/>
      <c r="J105" s="17"/>
      <c r="K105" s="17"/>
      <c r="L105" s="17"/>
      <c r="M105" s="17"/>
    </row>
    <row r="106" spans="2:13" x14ac:dyDescent="0.25">
      <c r="D106" s="202"/>
      <c r="E106" s="203"/>
      <c r="F106" s="203"/>
      <c r="G106" s="79"/>
      <c r="H106" s="79"/>
      <c r="I106" s="79"/>
      <c r="J106" s="79"/>
      <c r="K106" s="79"/>
      <c r="L106" s="203"/>
      <c r="M106" s="203"/>
    </row>
    <row r="107" spans="2:13" x14ac:dyDescent="0.25">
      <c r="E107" s="5"/>
      <c r="F107" s="5"/>
      <c r="G107" s="5"/>
      <c r="H107" s="5"/>
      <c r="I107" s="5"/>
      <c r="J107" s="5"/>
      <c r="K107" s="5"/>
      <c r="L107" s="204"/>
      <c r="M107" s="204"/>
    </row>
    <row r="108" spans="2:13" x14ac:dyDescent="0.25">
      <c r="E108" s="5"/>
      <c r="F108" s="5"/>
      <c r="G108" s="5"/>
      <c r="H108" s="5"/>
      <c r="I108" s="5"/>
      <c r="J108" s="5"/>
      <c r="K108" s="5"/>
      <c r="L108" s="204"/>
      <c r="M108" s="204"/>
    </row>
    <row r="109" spans="2:13" x14ac:dyDescent="0.25">
      <c r="B109" s="205"/>
      <c r="C109" s="206"/>
    </row>
    <row r="114" spans="2:20" x14ac:dyDescent="0.25">
      <c r="B114" s="205"/>
      <c r="C114" s="207"/>
    </row>
    <row r="115" spans="2:20" s="208" customFormat="1" x14ac:dyDescent="0.25">
      <c r="D115" s="15"/>
      <c r="E115" s="15"/>
      <c r="F115" s="15"/>
      <c r="G115" s="15"/>
      <c r="H115" s="15"/>
      <c r="I115" s="15"/>
      <c r="J115" s="15"/>
      <c r="K115" s="15"/>
      <c r="L115" s="114"/>
      <c r="M115" s="114"/>
      <c r="N115" s="15"/>
      <c r="O115" s="15"/>
      <c r="P115" s="15"/>
      <c r="Q115" s="15"/>
      <c r="R115" s="15"/>
      <c r="S115" s="15"/>
      <c r="T115" s="15"/>
    </row>
    <row r="116" spans="2:20" s="208" customFormat="1" x14ac:dyDescent="0.25">
      <c r="B116" s="209"/>
      <c r="C116" s="112"/>
      <c r="D116" s="15"/>
      <c r="E116" s="15"/>
      <c r="F116" s="15"/>
      <c r="G116" s="15"/>
      <c r="H116" s="15"/>
      <c r="I116" s="15"/>
      <c r="J116" s="15"/>
      <c r="K116" s="15"/>
      <c r="L116" s="114"/>
      <c r="M116" s="114"/>
    </row>
    <row r="117" spans="2:20" x14ac:dyDescent="0.25">
      <c r="C117" s="210"/>
      <c r="N117" s="208"/>
      <c r="O117" s="208"/>
      <c r="P117" s="208"/>
      <c r="Q117" s="208"/>
      <c r="R117" s="208"/>
      <c r="S117" s="208"/>
      <c r="T117" s="208"/>
    </row>
    <row r="118" spans="2:20" x14ac:dyDescent="0.25">
      <c r="C118" s="112"/>
      <c r="D118" s="113"/>
      <c r="E118" s="113"/>
      <c r="F118" s="113"/>
    </row>
    <row r="119" spans="2:20" x14ac:dyDescent="0.25">
      <c r="C119" s="112"/>
      <c r="D119" s="113"/>
      <c r="E119" s="113"/>
      <c r="F119" s="113"/>
    </row>
    <row r="120" spans="2:20" x14ac:dyDescent="0.25">
      <c r="C120" s="112"/>
      <c r="D120" s="113"/>
      <c r="E120" s="113"/>
      <c r="F120" s="113"/>
      <c r="L120" s="113"/>
      <c r="M120" s="113"/>
    </row>
    <row r="121" spans="2:20" x14ac:dyDescent="0.25">
      <c r="C121" s="5"/>
      <c r="D121" s="211"/>
      <c r="E121" s="211"/>
      <c r="F121" s="211"/>
      <c r="G121" s="211"/>
      <c r="H121" s="211"/>
      <c r="I121" s="211"/>
      <c r="J121" s="211"/>
      <c r="K121" s="211"/>
      <c r="L121" s="211"/>
      <c r="M121" s="211"/>
    </row>
    <row r="122" spans="2:20" x14ac:dyDescent="0.25">
      <c r="B122" s="212"/>
      <c r="C122" s="213"/>
      <c r="D122" s="213"/>
      <c r="E122" s="213"/>
      <c r="F122" s="213"/>
      <c r="L122" s="213"/>
      <c r="M122" s="213"/>
    </row>
    <row r="123" spans="2:20" x14ac:dyDescent="0.25">
      <c r="B123" s="225"/>
      <c r="C123" s="215"/>
      <c r="D123" s="215"/>
      <c r="E123" s="215"/>
      <c r="F123" s="215"/>
      <c r="L123" s="215"/>
      <c r="M123" s="215"/>
    </row>
    <row r="124" spans="2:20" x14ac:dyDescent="0.25">
      <c r="B124" s="226"/>
      <c r="C124" s="213"/>
      <c r="D124" s="213"/>
      <c r="E124" s="213"/>
      <c r="F124" s="213"/>
      <c r="L124" s="213"/>
      <c r="M124" s="213"/>
    </row>
    <row r="125" spans="2:20" x14ac:dyDescent="0.25">
      <c r="B125" s="214"/>
      <c r="C125" s="113"/>
      <c r="D125" s="113"/>
      <c r="E125" s="113"/>
      <c r="F125" s="113"/>
      <c r="L125" s="113"/>
      <c r="M125" s="113"/>
    </row>
    <row r="126" spans="2:20" x14ac:dyDescent="0.25">
      <c r="B126" s="214"/>
      <c r="C126" s="113"/>
      <c r="D126" s="113"/>
      <c r="E126" s="113"/>
      <c r="F126" s="113"/>
      <c r="L126" s="113"/>
      <c r="M126" s="113"/>
    </row>
    <row r="127" spans="2:20" x14ac:dyDescent="0.25">
      <c r="B127" s="214"/>
      <c r="C127" s="216"/>
      <c r="D127" s="216"/>
      <c r="E127" s="216"/>
      <c r="F127" s="216"/>
      <c r="L127" s="216"/>
      <c r="M127" s="216"/>
    </row>
    <row r="128" spans="2:20" s="208" customFormat="1" x14ac:dyDescent="0.25">
      <c r="B128" s="214"/>
      <c r="C128" s="113"/>
      <c r="D128" s="113"/>
      <c r="E128" s="113"/>
      <c r="F128" s="113"/>
      <c r="G128" s="15"/>
      <c r="H128" s="15"/>
      <c r="I128" s="15"/>
      <c r="J128" s="15"/>
      <c r="K128" s="15"/>
      <c r="L128" s="113"/>
      <c r="M128" s="113"/>
      <c r="N128" s="15"/>
      <c r="O128" s="15"/>
      <c r="P128" s="15"/>
      <c r="Q128" s="15"/>
      <c r="R128" s="15"/>
      <c r="S128" s="15"/>
      <c r="T128" s="15"/>
    </row>
    <row r="129" spans="2:20" x14ac:dyDescent="0.25">
      <c r="B129" s="214"/>
      <c r="C129" s="113"/>
      <c r="D129" s="113"/>
      <c r="E129" s="113"/>
      <c r="F129" s="113"/>
      <c r="L129" s="113"/>
      <c r="M129" s="113"/>
      <c r="N129" s="208"/>
      <c r="O129" s="208"/>
      <c r="P129" s="208"/>
      <c r="Q129" s="208"/>
      <c r="R129" s="208"/>
      <c r="S129" s="208"/>
      <c r="T129" s="208"/>
    </row>
    <row r="130" spans="2:20" x14ac:dyDescent="0.25">
      <c r="B130" s="214"/>
      <c r="C130" s="113"/>
      <c r="D130" s="113"/>
      <c r="E130" s="113"/>
      <c r="F130" s="113"/>
      <c r="L130" s="113"/>
      <c r="M130" s="113"/>
    </row>
    <row r="132" spans="2:20" x14ac:dyDescent="0.25">
      <c r="B132" s="217"/>
      <c r="C132" s="218"/>
      <c r="D132" s="218"/>
      <c r="E132" s="218"/>
      <c r="F132" s="218"/>
      <c r="L132" s="218"/>
      <c r="M132" s="218"/>
    </row>
    <row r="133" spans="2:20" x14ac:dyDescent="0.25">
      <c r="B133" s="212"/>
      <c r="C133" s="213"/>
      <c r="D133" s="213"/>
      <c r="E133" s="213"/>
      <c r="F133" s="213"/>
      <c r="L133" s="213"/>
      <c r="M133" s="213"/>
    </row>
    <row r="134" spans="2:20" x14ac:dyDescent="0.25">
      <c r="B134" s="225"/>
      <c r="C134" s="215"/>
      <c r="D134" s="215"/>
      <c r="E134" s="215"/>
      <c r="F134" s="215"/>
      <c r="L134" s="215"/>
      <c r="M134" s="215"/>
    </row>
    <row r="135" spans="2:20" x14ac:dyDescent="0.25">
      <c r="B135" s="226"/>
      <c r="C135" s="213"/>
      <c r="D135" s="213"/>
      <c r="E135" s="213"/>
      <c r="F135" s="213"/>
      <c r="L135" s="213"/>
      <c r="M135" s="213"/>
    </row>
    <row r="136" spans="2:20" x14ac:dyDescent="0.25">
      <c r="B136" s="214"/>
      <c r="C136" s="113"/>
      <c r="D136" s="113"/>
      <c r="E136" s="113"/>
      <c r="F136" s="113"/>
      <c r="L136" s="113"/>
      <c r="M136" s="113"/>
    </row>
    <row r="138" spans="2:20" x14ac:dyDescent="0.25">
      <c r="B138" s="214"/>
      <c r="C138" s="113"/>
      <c r="D138" s="113"/>
      <c r="E138" s="113"/>
      <c r="F138" s="113"/>
      <c r="L138" s="113"/>
      <c r="M138" s="113"/>
    </row>
    <row r="139" spans="2:20" x14ac:dyDescent="0.25">
      <c r="B139" s="214"/>
      <c r="C139" s="113"/>
      <c r="D139" s="113"/>
      <c r="E139" s="113"/>
      <c r="F139" s="113"/>
      <c r="L139" s="113"/>
      <c r="M139" s="113"/>
    </row>
    <row r="140" spans="2:20" x14ac:dyDescent="0.25">
      <c r="B140" s="214"/>
      <c r="C140" s="113"/>
      <c r="D140" s="113"/>
      <c r="E140" s="113"/>
      <c r="F140" s="113"/>
      <c r="L140" s="113"/>
      <c r="M140" s="113"/>
    </row>
    <row r="141" spans="2:20" x14ac:dyDescent="0.25">
      <c r="B141" s="214"/>
      <c r="C141" s="113"/>
      <c r="D141" s="113"/>
      <c r="E141" s="113"/>
      <c r="F141" s="113"/>
      <c r="L141" s="113"/>
      <c r="M141" s="113"/>
    </row>
    <row r="142" spans="2:20" x14ac:dyDescent="0.25">
      <c r="B142" s="214"/>
      <c r="C142" s="113"/>
      <c r="D142" s="113"/>
      <c r="E142" s="113"/>
      <c r="F142" s="113"/>
      <c r="L142" s="113"/>
      <c r="M142" s="113"/>
    </row>
    <row r="143" spans="2:20" x14ac:dyDescent="0.25">
      <c r="B143" s="214"/>
      <c r="C143" s="113"/>
      <c r="D143" s="113"/>
      <c r="E143" s="113"/>
      <c r="F143" s="113"/>
      <c r="L143" s="113"/>
      <c r="M143" s="113"/>
    </row>
    <row r="144" spans="2:20" x14ac:dyDescent="0.25">
      <c r="B144" s="214"/>
      <c r="C144" s="113"/>
      <c r="D144" s="113"/>
      <c r="E144" s="113"/>
      <c r="F144" s="113"/>
      <c r="L144" s="113"/>
      <c r="M144" s="113"/>
    </row>
    <row r="145" spans="2:13" x14ac:dyDescent="0.25">
      <c r="B145" s="219"/>
      <c r="C145" s="215"/>
      <c r="D145" s="215"/>
      <c r="E145" s="215"/>
      <c r="F145" s="215"/>
      <c r="L145" s="215"/>
      <c r="M145" s="215"/>
    </row>
    <row r="146" spans="2:13" x14ac:dyDescent="0.25">
      <c r="B146" s="217"/>
      <c r="C146" s="218"/>
      <c r="D146" s="218"/>
      <c r="E146" s="218"/>
      <c r="F146" s="218"/>
      <c r="L146" s="218"/>
      <c r="M146" s="218"/>
    </row>
    <row r="147" spans="2:13" x14ac:dyDescent="0.25">
      <c r="B147" s="212"/>
      <c r="C147" s="213"/>
      <c r="D147" s="213"/>
      <c r="E147" s="213"/>
      <c r="F147" s="213"/>
      <c r="L147" s="213"/>
      <c r="M147" s="213"/>
    </row>
    <row r="148" spans="2:13" x14ac:dyDescent="0.25">
      <c r="B148" s="225"/>
      <c r="C148" s="215"/>
      <c r="D148" s="215"/>
      <c r="E148" s="215"/>
      <c r="F148" s="215"/>
      <c r="L148" s="215"/>
      <c r="M148" s="215"/>
    </row>
    <row r="149" spans="2:13" x14ac:dyDescent="0.25">
      <c r="B149" s="226"/>
      <c r="C149" s="213"/>
      <c r="D149" s="213"/>
      <c r="E149" s="213"/>
      <c r="F149" s="213"/>
      <c r="L149" s="213"/>
      <c r="M149" s="213"/>
    </row>
    <row r="150" spans="2:13" x14ac:dyDescent="0.25">
      <c r="B150" s="214"/>
      <c r="C150" s="215"/>
      <c r="D150" s="215"/>
      <c r="E150" s="215"/>
      <c r="F150" s="215"/>
      <c r="L150" s="215"/>
      <c r="M150" s="215"/>
    </row>
    <row r="151" spans="2:13" x14ac:dyDescent="0.25">
      <c r="B151" s="214"/>
      <c r="C151" s="215"/>
      <c r="D151" s="215"/>
      <c r="E151" s="215"/>
      <c r="F151" s="215"/>
      <c r="L151" s="215"/>
      <c r="M151" s="215"/>
    </row>
    <row r="152" spans="2:13" x14ac:dyDescent="0.25">
      <c r="B152" s="214"/>
      <c r="C152" s="215"/>
      <c r="D152" s="215"/>
      <c r="E152" s="215"/>
      <c r="F152" s="215"/>
      <c r="L152" s="215"/>
      <c r="M152" s="215"/>
    </row>
    <row r="153" spans="2:13" x14ac:dyDescent="0.25">
      <c r="B153" s="214"/>
      <c r="C153" s="215"/>
      <c r="D153" s="215"/>
      <c r="E153" s="215"/>
      <c r="F153" s="215"/>
      <c r="L153" s="215"/>
      <c r="M153" s="215"/>
    </row>
    <row r="154" spans="2:13" x14ac:dyDescent="0.25">
      <c r="B154" s="214"/>
      <c r="C154" s="215"/>
      <c r="D154" s="215"/>
      <c r="E154" s="215"/>
      <c r="F154" s="215"/>
      <c r="L154" s="215"/>
      <c r="M154" s="215"/>
    </row>
    <row r="155" spans="2:13" x14ac:dyDescent="0.25">
      <c r="B155" s="214"/>
      <c r="C155" s="215"/>
      <c r="D155" s="215"/>
      <c r="E155" s="215"/>
      <c r="F155" s="215"/>
      <c r="L155" s="215"/>
      <c r="M155" s="215"/>
    </row>
    <row r="156" spans="2:13" x14ac:dyDescent="0.25">
      <c r="B156" s="214"/>
      <c r="C156" s="215"/>
      <c r="D156" s="215"/>
      <c r="E156" s="215"/>
      <c r="F156" s="215"/>
      <c r="L156" s="215"/>
      <c r="M156" s="215"/>
    </row>
    <row r="157" spans="2:13" x14ac:dyDescent="0.25">
      <c r="B157" s="214"/>
      <c r="C157" s="215"/>
      <c r="D157" s="215"/>
      <c r="E157" s="215"/>
      <c r="F157" s="215"/>
      <c r="L157" s="215"/>
      <c r="M157" s="215"/>
    </row>
    <row r="158" spans="2:13" x14ac:dyDescent="0.25">
      <c r="B158" s="214"/>
      <c r="C158" s="215"/>
      <c r="D158" s="215"/>
      <c r="E158" s="215"/>
      <c r="F158" s="215"/>
      <c r="L158" s="215"/>
      <c r="M158" s="215"/>
    </row>
    <row r="159" spans="2:13" x14ac:dyDescent="0.25">
      <c r="B159" s="214"/>
      <c r="C159" s="215"/>
      <c r="D159" s="215"/>
      <c r="E159" s="215"/>
      <c r="F159" s="215"/>
      <c r="L159" s="215"/>
      <c r="M159" s="215"/>
    </row>
    <row r="160" spans="2:13" x14ac:dyDescent="0.25">
      <c r="B160" s="214"/>
      <c r="C160" s="215"/>
      <c r="D160" s="215"/>
      <c r="E160" s="215"/>
      <c r="F160" s="215"/>
      <c r="L160" s="215"/>
      <c r="M160" s="215"/>
    </row>
    <row r="161" spans="2:13" x14ac:dyDescent="0.25">
      <c r="B161" s="214"/>
      <c r="C161" s="215"/>
      <c r="D161" s="215"/>
      <c r="E161" s="215"/>
      <c r="F161" s="215"/>
      <c r="L161" s="215"/>
      <c r="M161" s="215"/>
    </row>
    <row r="162" spans="2:13" x14ac:dyDescent="0.25">
      <c r="B162" s="214"/>
      <c r="C162" s="215"/>
      <c r="D162" s="215"/>
      <c r="E162" s="215"/>
      <c r="F162" s="215"/>
      <c r="L162" s="215"/>
      <c r="M162" s="215"/>
    </row>
    <row r="163" spans="2:13" x14ac:dyDescent="0.25">
      <c r="B163" s="214"/>
      <c r="C163" s="215"/>
      <c r="D163" s="215"/>
      <c r="E163" s="215"/>
      <c r="F163" s="215"/>
      <c r="L163" s="215"/>
      <c r="M163" s="215"/>
    </row>
    <row r="164" spans="2:13" x14ac:dyDescent="0.25">
      <c r="B164" s="214"/>
      <c r="C164" s="215"/>
      <c r="D164" s="215"/>
      <c r="E164" s="215"/>
      <c r="F164" s="215"/>
      <c r="L164" s="215"/>
      <c r="M164" s="215"/>
    </row>
    <row r="165" spans="2:13" x14ac:dyDescent="0.25">
      <c r="B165" s="214"/>
      <c r="C165" s="215"/>
      <c r="D165" s="215"/>
      <c r="E165" s="215"/>
      <c r="F165" s="215"/>
      <c r="L165" s="215"/>
      <c r="M165" s="215"/>
    </row>
  </sheetData>
  <mergeCells count="11">
    <mergeCell ref="P67:T67"/>
    <mergeCell ref="B2:C3"/>
    <mergeCell ref="E3:F3"/>
    <mergeCell ref="L29:O29"/>
    <mergeCell ref="Q29:T29"/>
    <mergeCell ref="V29:Y29"/>
    <mergeCell ref="N89:T89"/>
    <mergeCell ref="P90:T90"/>
    <mergeCell ref="B123:B124"/>
    <mergeCell ref="B134:B135"/>
    <mergeCell ref="B148:B149"/>
  </mergeCells>
  <pageMargins left="0.3" right="0.3" top="0.3" bottom="0.3" header="0" footer="0"/>
  <pageSetup paperSize="9" scale="88" fitToHeight="0"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DCF</vt:lpstr>
      <vt:lpstr>AAPL_DCF</vt:lpstr>
      <vt:lpstr>SNAP_DCF</vt:lpstr>
      <vt:lpstr>AAPL_DCF!EV</vt:lpstr>
      <vt:lpstr>DCF!EV</vt:lpstr>
      <vt:lpstr>SNAP_DCF!EV</vt:lpstr>
      <vt:lpstr>AAPL_DCF!Print_Area</vt:lpstr>
      <vt:lpstr>DCF!Print_Area</vt:lpstr>
      <vt:lpstr>SNAP_DCF!Print_Area</vt:lpstr>
      <vt:lpstr>AAPL_DCF!WACC</vt:lpstr>
      <vt:lpstr>DCF!WACC</vt:lpstr>
      <vt:lpstr>SNAP_DCF!WACC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Romin Gandhi</dc:creator>
  <cp:lastModifiedBy>Romin Gandhi</cp:lastModifiedBy>
  <dcterms:created xsi:type="dcterms:W3CDTF">2025-04-10T15:44:35Z</dcterms:created>
  <dcterms:modified xsi:type="dcterms:W3CDTF">2025-04-11T16:35:23Z</dcterms:modified>
</cp:coreProperties>
</file>