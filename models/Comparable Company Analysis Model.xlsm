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s\In works\models\"/>
    </mc:Choice>
  </mc:AlternateContent>
  <xr:revisionPtr revIDLastSave="0" documentId="13_ncr:1_{B217BB18-C271-4480-B13A-D467462FCB1A}" xr6:coauthVersionLast="47" xr6:coauthVersionMax="47" xr10:uidLastSave="{00000000-0000-0000-0000-000000000000}"/>
  <bookViews>
    <workbookView xWindow="-34886" yWindow="-1875" windowWidth="34995" windowHeight="19060" activeTab="1" xr2:uid="{DFD78A64-3C0D-4AF6-81F8-D85A534F2622}"/>
  </bookViews>
  <sheets>
    <sheet name="CCA" sheetId="2" r:id="rId1"/>
    <sheet name="AAPL_CCA" sheetId="5" r:id="rId2"/>
    <sheet name="SNAP_CCA" sheetId="6" r:id="rId3"/>
  </sheets>
  <externalReferences>
    <externalReference r:id="rId4"/>
    <externalReference r:id="rId5"/>
  </externalReferences>
  <definedNames>
    <definedName name="_xlnm._FilterDatabase" localSheetId="1" hidden="1">AAPL_CCA!$B$7:$B$7</definedName>
    <definedName name="_xlnm._FilterDatabase" localSheetId="0" hidden="1">CCA!$B$7:$B$7</definedName>
    <definedName name="_xlnm._FilterDatabase" localSheetId="2" hidden="1">SNAP_CCA!$B$7:$B$7</definedName>
    <definedName name="_ITEM1" localSheetId="1">'[1]Roles &amp; Responsibilities BLANK'!#REF!</definedName>
    <definedName name="_ITEM1" localSheetId="0">'[1]Roles &amp; Responsibilities BLANK'!#REF!</definedName>
    <definedName name="_ITEM1" localSheetId="2">'[1]Roles &amp; Responsibilities BLANK'!#REF!</definedName>
    <definedName name="_ITEM1">'[1]Roles &amp; Responsibilities BLANK'!#REF!</definedName>
    <definedName name="_ITEM2" localSheetId="1">'[1]Roles &amp; Responsibilities BLANK'!#REF!</definedName>
    <definedName name="_ITEM2" localSheetId="0">'[1]Roles &amp; Responsibilities BLANK'!#REF!</definedName>
    <definedName name="_ITEM2" localSheetId="2">'[1]Roles &amp; Responsibilities BLANK'!#REF!</definedName>
    <definedName name="_ITEM2">'[1]Roles &amp; Responsibilities BLANK'!#REF!</definedName>
    <definedName name="_ITEM3" localSheetId="1">'[1]Roles &amp; Responsibilities BLANK'!#REF!</definedName>
    <definedName name="_ITEM3" localSheetId="0">'[1]Roles &amp; Responsibilities BLANK'!#REF!</definedName>
    <definedName name="_ITEM3" localSheetId="2">'[1]Roles &amp; Responsibilities BLANK'!#REF!</definedName>
    <definedName name="_ITEM3">'[1]Roles &amp; Responsibilities BLANK'!#REF!</definedName>
    <definedName name="_ITEM4" localSheetId="1">'[1]Roles &amp; Responsibilities BLANK'!#REF!</definedName>
    <definedName name="_ITEM4" localSheetId="0">'[1]Roles &amp; Responsibilities BLANK'!#REF!</definedName>
    <definedName name="_ITEM4" localSheetId="2">'[1]Roles &amp; Responsibilities BLANK'!#REF!</definedName>
    <definedName name="_ITEM4">'[1]Roles &amp; Responsibilities BLANK'!#REF!</definedName>
    <definedName name="_ITEM5" localSheetId="1">'[1]Roles &amp; Responsibilities BLANK'!#REF!</definedName>
    <definedName name="_ITEM5" localSheetId="0">'[1]Roles &amp; Responsibilities BLANK'!#REF!</definedName>
    <definedName name="_ITEM5" localSheetId="2">'[1]Roles &amp; Responsibilities BLANK'!#REF!</definedName>
    <definedName name="_ITEM5">'[1]Roles &amp; Responsibilities BLANK'!#REF!</definedName>
    <definedName name="_ITEM6" localSheetId="1">'[1]Roles &amp; Responsibilities BLANK'!#REF!</definedName>
    <definedName name="_ITEM6" localSheetId="0">'[1]Roles &amp; Responsibilities BLANK'!#REF!</definedName>
    <definedName name="_ITEM6" localSheetId="2">'[1]Roles &amp; Responsibilities BLANK'!#REF!</definedName>
    <definedName name="_ITEM6">'[1]Roles &amp; Responsibilities BLANK'!#REF!</definedName>
    <definedName name="EV" localSheetId="1">AAPL_CCA!$C$79</definedName>
    <definedName name="EV" localSheetId="0">CCA!$C$79</definedName>
    <definedName name="EV" localSheetId="2">SNAP_CCA!$C$79</definedName>
    <definedName name="EV">#REF!</definedName>
    <definedName name="_xlnm.Print_Area" localSheetId="1">AAPL_CCA!$B$1:$L$96</definedName>
    <definedName name="_xlnm.Print_Area" localSheetId="0">CCA!$B$1:$L$96</definedName>
    <definedName name="_xlnm.Print_Area" localSheetId="2">SNAP_CCA!$B$1:$L$96</definedName>
    <definedName name="Type" localSheetId="1">'[2]Maintenance Work Order'!#REF!</definedName>
    <definedName name="Type" localSheetId="0">'[2]Maintenance Work Order'!#REF!</definedName>
    <definedName name="Type" localSheetId="2">'[2]Maintenance Work Order'!#REF!</definedName>
    <definedName name="Type">'[2]Maintenance Work Order'!#REF!</definedName>
    <definedName name="WACC" localSheetId="1">AAPL_CCA!$C$61</definedName>
    <definedName name="WACC" localSheetId="0">CCA!$C$61</definedName>
    <definedName name="WACC" localSheetId="2">SNAP_CCA!$C$61</definedName>
    <definedName name="WACC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" l="1"/>
  <c r="B33" i="5"/>
  <c r="B33" i="6"/>
  <c r="I85" i="6"/>
  <c r="J83" i="6"/>
  <c r="I83" i="6"/>
  <c r="J79" i="6"/>
  <c r="I79" i="6"/>
  <c r="J78" i="6"/>
  <c r="I78" i="6"/>
  <c r="J75" i="6"/>
  <c r="I75" i="6"/>
  <c r="J74" i="6"/>
  <c r="I74" i="6"/>
  <c r="J73" i="6"/>
  <c r="I73" i="6"/>
  <c r="I70" i="6"/>
  <c r="J70" i="6" s="1"/>
  <c r="J69" i="6" s="1"/>
  <c r="I69" i="6"/>
  <c r="I71" i="6" s="1"/>
  <c r="I68" i="6"/>
  <c r="J68" i="6" s="1"/>
  <c r="J67" i="6" s="1"/>
  <c r="L67" i="6" s="1"/>
  <c r="I67" i="6"/>
  <c r="J66" i="6"/>
  <c r="I66" i="6"/>
  <c r="J65" i="6"/>
  <c r="L65" i="6" s="1"/>
  <c r="I65" i="6"/>
  <c r="J85" i="6" s="1"/>
  <c r="C23" i="6"/>
  <c r="O15" i="6"/>
  <c r="N15" i="6"/>
  <c r="M15" i="6"/>
  <c r="L15" i="6"/>
  <c r="O14" i="6"/>
  <c r="N14" i="6"/>
  <c r="M14" i="6"/>
  <c r="L14" i="6"/>
  <c r="O13" i="6"/>
  <c r="N13" i="6"/>
  <c r="M13" i="6"/>
  <c r="L13" i="6"/>
  <c r="O12" i="6"/>
  <c r="N12" i="6"/>
  <c r="M12" i="6"/>
  <c r="L12" i="6"/>
  <c r="O11" i="6"/>
  <c r="N11" i="6"/>
  <c r="M11" i="6"/>
  <c r="L11" i="6"/>
  <c r="I85" i="5"/>
  <c r="J83" i="5"/>
  <c r="I83" i="5"/>
  <c r="J79" i="5"/>
  <c r="I79" i="5"/>
  <c r="J78" i="5"/>
  <c r="I78" i="5"/>
  <c r="I74" i="5"/>
  <c r="J74" i="5" s="1"/>
  <c r="J73" i="5"/>
  <c r="J75" i="5" s="1"/>
  <c r="I73" i="5"/>
  <c r="I75" i="5" s="1"/>
  <c r="I70" i="5"/>
  <c r="J70" i="5" s="1"/>
  <c r="J69" i="5" s="1"/>
  <c r="I68" i="5"/>
  <c r="J68" i="5" s="1"/>
  <c r="J67" i="5" s="1"/>
  <c r="L67" i="5" s="1"/>
  <c r="J65" i="5"/>
  <c r="L65" i="5" s="1"/>
  <c r="I65" i="5"/>
  <c r="J85" i="5" s="1"/>
  <c r="C23" i="5"/>
  <c r="O15" i="5"/>
  <c r="N15" i="5"/>
  <c r="M15" i="5"/>
  <c r="L15" i="5"/>
  <c r="O14" i="5"/>
  <c r="N14" i="5"/>
  <c r="M14" i="5"/>
  <c r="L14" i="5"/>
  <c r="O13" i="5"/>
  <c r="N13" i="5"/>
  <c r="M13" i="5"/>
  <c r="L13" i="5"/>
  <c r="O12" i="5"/>
  <c r="N12" i="5"/>
  <c r="M12" i="5"/>
  <c r="L12" i="5"/>
  <c r="O11" i="5"/>
  <c r="N11" i="5"/>
  <c r="M11" i="5"/>
  <c r="L11" i="5"/>
  <c r="I85" i="2"/>
  <c r="J83" i="2"/>
  <c r="I83" i="2"/>
  <c r="J79" i="2"/>
  <c r="I79" i="2"/>
  <c r="J78" i="2"/>
  <c r="I78" i="2"/>
  <c r="I74" i="2"/>
  <c r="J74" i="2" s="1"/>
  <c r="J73" i="2"/>
  <c r="J75" i="2" s="1"/>
  <c r="I73" i="2"/>
  <c r="I75" i="2" s="1"/>
  <c r="I70" i="2"/>
  <c r="J70" i="2" s="1"/>
  <c r="J69" i="2" s="1"/>
  <c r="I69" i="2"/>
  <c r="J71" i="2" s="1"/>
  <c r="I68" i="2"/>
  <c r="J68" i="2" s="1"/>
  <c r="J67" i="2" s="1"/>
  <c r="L67" i="2" s="1"/>
  <c r="I67" i="2"/>
  <c r="J66" i="2"/>
  <c r="J72" i="2" s="1"/>
  <c r="I66" i="2"/>
  <c r="J65" i="2"/>
  <c r="L65" i="2" s="1"/>
  <c r="I65" i="2"/>
  <c r="J85" i="2" s="1"/>
  <c r="C23" i="2"/>
  <c r="M17" i="2"/>
  <c r="D24" i="2" s="1"/>
  <c r="E24" i="2" s="1"/>
  <c r="O15" i="2"/>
  <c r="N15" i="2"/>
  <c r="M15" i="2"/>
  <c r="L15" i="2"/>
  <c r="O14" i="2"/>
  <c r="N14" i="2"/>
  <c r="M14" i="2"/>
  <c r="L14" i="2"/>
  <c r="O13" i="2"/>
  <c r="N13" i="2"/>
  <c r="M13" i="2"/>
  <c r="L13" i="2"/>
  <c r="O12" i="2"/>
  <c r="N12" i="2"/>
  <c r="M12" i="2"/>
  <c r="L12" i="2"/>
  <c r="O11" i="2"/>
  <c r="O16" i="2" s="1"/>
  <c r="N11" i="2"/>
  <c r="N16" i="2" s="1"/>
  <c r="M11" i="2"/>
  <c r="M16" i="2" s="1"/>
  <c r="L11" i="2"/>
  <c r="L17" i="2" s="1"/>
  <c r="L17" i="6" l="1"/>
  <c r="M16" i="6"/>
  <c r="O16" i="6"/>
  <c r="N16" i="6"/>
  <c r="M17" i="6"/>
  <c r="D24" i="6" s="1"/>
  <c r="E24" i="6" s="1"/>
  <c r="N17" i="6"/>
  <c r="D25" i="6" s="1"/>
  <c r="E25" i="6" s="1"/>
  <c r="O17" i="6"/>
  <c r="D26" i="6" s="1"/>
  <c r="E26" i="6" s="1"/>
  <c r="C29" i="6" s="1"/>
  <c r="C31" i="6" s="1"/>
  <c r="I72" i="6"/>
  <c r="I76" i="6" s="1"/>
  <c r="L66" i="6"/>
  <c r="J71" i="6"/>
  <c r="J72" i="6" s="1"/>
  <c r="J76" i="6" s="1"/>
  <c r="L16" i="6"/>
  <c r="N17" i="2"/>
  <c r="D25" i="2" s="1"/>
  <c r="E25" i="2" s="1"/>
  <c r="O17" i="2"/>
  <c r="D26" i="2" s="1"/>
  <c r="E26" i="2" s="1"/>
  <c r="C29" i="2" s="1"/>
  <c r="C31" i="2" s="1"/>
  <c r="O17" i="5"/>
  <c r="D26" i="5" s="1"/>
  <c r="E26" i="5" s="1"/>
  <c r="C29" i="5" s="1"/>
  <c r="C31" i="5" s="1"/>
  <c r="L17" i="5"/>
  <c r="M17" i="5"/>
  <c r="D24" i="5" s="1"/>
  <c r="E24" i="5" s="1"/>
  <c r="N17" i="5"/>
  <c r="D25" i="5" s="1"/>
  <c r="E25" i="5" s="1"/>
  <c r="O16" i="5"/>
  <c r="M16" i="5"/>
  <c r="N16" i="5"/>
  <c r="L16" i="5"/>
  <c r="I66" i="5"/>
  <c r="J66" i="5"/>
  <c r="I67" i="5"/>
  <c r="I69" i="5"/>
  <c r="J76" i="2"/>
  <c r="L16" i="2"/>
  <c r="I71" i="2"/>
  <c r="I72" i="2" s="1"/>
  <c r="I76" i="2" s="1"/>
  <c r="L66" i="2"/>
  <c r="L66" i="5" l="1"/>
  <c r="J71" i="5"/>
  <c r="J72" i="5" s="1"/>
  <c r="J76" i="5" s="1"/>
  <c r="I71" i="5"/>
  <c r="I72" i="5" s="1"/>
  <c r="I76" i="5" s="1"/>
</calcChain>
</file>

<file path=xl/sharedStrings.xml><?xml version="1.0" encoding="utf-8"?>
<sst xmlns="http://schemas.openxmlformats.org/spreadsheetml/2006/main" count="122" uniqueCount="48">
  <si>
    <t>COMPARABLE COMPANIES ANALYSIS (CCA)</t>
  </si>
  <si>
    <t xml:space="preserve">  </t>
  </si>
  <si>
    <t>COMPANY NAME</t>
  </si>
  <si>
    <t>FISCAL DATE ENDING</t>
  </si>
  <si>
    <t>COMPARABLE COMPANIES ANALYSIS</t>
  </si>
  <si>
    <t>Market Data</t>
  </si>
  <si>
    <t>Financial Data</t>
  </si>
  <si>
    <t>Valuation</t>
  </si>
  <si>
    <t>COMPANY</t>
  </si>
  <si>
    <t>Price ($/share)</t>
  </si>
  <si>
    <t xml:space="preserve">Market Cap </t>
  </si>
  <si>
    <t xml:space="preserve">EV </t>
  </si>
  <si>
    <t xml:space="preserve">Sales </t>
  </si>
  <si>
    <t>EBITDA</t>
  </si>
  <si>
    <t>EBIT</t>
  </si>
  <si>
    <t>Earnings</t>
  </si>
  <si>
    <t>EV/Sales</t>
  </si>
  <si>
    <t>EV/EBITDA</t>
  </si>
  <si>
    <t>EV/EBIT</t>
  </si>
  <si>
    <t>P/E</t>
  </si>
  <si>
    <t>AAPL</t>
  </si>
  <si>
    <t>MSFT</t>
  </si>
  <si>
    <t>AMZN</t>
  </si>
  <si>
    <t>META</t>
  </si>
  <si>
    <t>NFLX</t>
  </si>
  <si>
    <t>AVERAGE</t>
  </si>
  <si>
    <t>MEDIAN</t>
  </si>
  <si>
    <t>IMPLIED VALUATION</t>
  </si>
  <si>
    <t xml:space="preserve">Metric </t>
  </si>
  <si>
    <t>Median Multiple</t>
  </si>
  <si>
    <t>Implied EV/Equity</t>
  </si>
  <si>
    <t>Earning</t>
  </si>
  <si>
    <t>IMPLIED SHARE PRICE</t>
  </si>
  <si>
    <t>Implied Equity Value</t>
  </si>
  <si>
    <t>Shares Outstanding</t>
  </si>
  <si>
    <t>Implied Price/Share</t>
  </si>
  <si>
    <t>Current Price/Share</t>
  </si>
  <si>
    <t>GOOGL</t>
  </si>
  <si>
    <t>Apple Inc</t>
  </si>
  <si>
    <t>TSLA</t>
  </si>
  <si>
    <t>NVDA</t>
  </si>
  <si>
    <t xml:space="preserve">NOTE: All values in this model are automatically populated using a Python pipeline. </t>
  </si>
  <si>
    <t>Snap Inc</t>
  </si>
  <si>
    <t>PINS</t>
  </si>
  <si>
    <t>TTD</t>
  </si>
  <si>
    <t>RBLX</t>
  </si>
  <si>
    <t>SPOT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</si>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</sst>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#,##0.0"/>
    <numFmt numFmtId="166" formatCode="0&quot;E&quot;"/>
    <numFmt numFmtId="167" formatCode="0.0\x"/>
  </numFmts>
  <fonts count="3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0" tint="-0.499984740745262"/>
      <name val="Century Gothic"/>
      <family val="1"/>
    </font>
    <font>
      <b/>
      <sz val="20"/>
      <color theme="0" tint="-0.34998626667073579"/>
      <name val="Century Gothic"/>
      <family val="1"/>
    </font>
    <font>
      <sz val="22"/>
      <color theme="1"/>
      <name val="Arial"/>
      <family val="2"/>
    </font>
    <font>
      <b/>
      <sz val="15"/>
      <color theme="0" tint="-0.499984740745262"/>
      <name val="Century Gothic"/>
      <family val="1"/>
    </font>
    <font>
      <b/>
      <sz val="9"/>
      <color rgb="FF4D4D4D"/>
      <name val="Century Gothic"/>
      <family val="1"/>
    </font>
    <font>
      <sz val="9"/>
      <color rgb="FF4D4D4D"/>
      <name val="Arial"/>
      <family val="2"/>
    </font>
    <font>
      <sz val="10"/>
      <color theme="1" tint="0.34998626667073579"/>
      <name val="Century Gothic"/>
      <family val="1"/>
    </font>
    <font>
      <sz val="9"/>
      <color theme="1"/>
      <name val="Century Gothic"/>
      <family val="1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2"/>
      <color theme="0" tint="-0.499984740745262"/>
      <name val="Century Gothic"/>
      <family val="1"/>
    </font>
    <font>
      <i/>
      <sz val="9"/>
      <color theme="1"/>
      <name val="Century Gothic"/>
      <family val="1"/>
    </font>
    <font>
      <sz val="9"/>
      <color rgb="FF00B050"/>
      <name val="Century Gothic"/>
      <family val="1"/>
    </font>
    <font>
      <b/>
      <sz val="9"/>
      <color theme="1" tint="0.249977111117893"/>
      <name val="Century Gothic"/>
      <family val="2"/>
    </font>
    <font>
      <sz val="9"/>
      <color rgb="FF4D4D4D"/>
      <name val="Century Gothic"/>
      <family val="1"/>
    </font>
    <font>
      <sz val="9"/>
      <color theme="1" tint="0.34998626667073579"/>
      <name val="Century Gothic"/>
      <family val="2"/>
    </font>
    <font>
      <sz val="9"/>
      <color rgb="FF4D4D4D"/>
      <name val="Century Gothic"/>
      <family val="2"/>
    </font>
    <font>
      <sz val="10"/>
      <color rgb="FF4D4D4D"/>
      <name val="Arial"/>
      <family val="2"/>
    </font>
    <font>
      <b/>
      <sz val="9"/>
      <color theme="1"/>
      <name val="Century Gothic"/>
      <family val="1"/>
    </font>
    <font>
      <sz val="9"/>
      <color theme="1" tint="0.14999847407452621"/>
      <name val="Century Gothic"/>
      <family val="2"/>
    </font>
    <font>
      <b/>
      <sz val="9"/>
      <color rgb="FF4D4D4D"/>
      <name val="Century Gothic"/>
      <family val="2"/>
    </font>
    <font>
      <b/>
      <i/>
      <sz val="9"/>
      <color rgb="FF4D4D4D"/>
      <name val="Century Gothic"/>
      <family val="1"/>
    </font>
    <font>
      <sz val="9"/>
      <color theme="0"/>
      <name val="Century Gothic"/>
      <family val="1"/>
    </font>
    <font>
      <i/>
      <sz val="9"/>
      <color theme="1" tint="0.34998626667073579"/>
      <name val="Century Gothic"/>
      <family val="1"/>
    </font>
    <font>
      <i/>
      <sz val="9"/>
      <color rgb="FF4D4D4D"/>
      <name val="Century Gothic"/>
      <family val="1"/>
    </font>
    <font>
      <sz val="9"/>
      <color theme="3"/>
      <name val="Century Gothic"/>
      <family val="1"/>
    </font>
    <font>
      <b/>
      <sz val="9"/>
      <color theme="0"/>
      <name val="Century Gothic"/>
      <family val="1"/>
    </font>
    <font>
      <sz val="9"/>
      <color rgb="FF048EB0"/>
      <name val="Century Gothic"/>
      <family val="1"/>
    </font>
    <font>
      <b/>
      <sz val="9"/>
      <color theme="2"/>
      <name val="Century Gothic"/>
      <family val="1"/>
    </font>
    <font>
      <b/>
      <sz val="9"/>
      <color theme="3"/>
      <name val="Century Gothic"/>
      <family val="1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hair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ck">
        <color theme="0" tint="-0.249977111117893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ck">
        <color theme="0" tint="-0.249977111117893"/>
      </left>
      <right/>
      <top/>
      <bottom style="hair">
        <color theme="0" tint="-0.249977111117893"/>
      </bottom>
      <diagonal/>
    </border>
    <border>
      <left/>
      <right/>
      <top/>
      <bottom style="hair">
        <color theme="0" tint="-0.249977111117893"/>
      </bottom>
      <diagonal/>
    </border>
    <border>
      <left/>
      <right/>
      <top style="thin">
        <color theme="0"/>
      </top>
      <bottom/>
      <diagonal/>
    </border>
    <border>
      <left style="thick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hair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hair">
        <color theme="0" tint="-0.249977111117893"/>
      </right>
      <top/>
      <bottom/>
      <diagonal/>
    </border>
    <border>
      <left/>
      <right/>
      <top style="thin">
        <color theme="0" tint="-0.249977111117893"/>
      </top>
      <bottom style="double">
        <color theme="0" tint="-0.249977111117893"/>
      </bottom>
      <diagonal/>
    </border>
    <border>
      <left/>
      <right style="hair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</borders>
  <cellStyleXfs count="2">
    <xf numFmtId="0" fontId="0" fillId="0" borderId="0"/>
    <xf numFmtId="0" fontId="1" fillId="0" borderId="0"/>
  </cellStyleXfs>
  <cellXfs count="113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3" borderId="2" xfId="0" applyFont="1" applyFill="1" applyBorder="1" applyAlignment="1">
      <alignment horizontal="left" vertical="center" indent="1"/>
    </xf>
    <xf numFmtId="0" fontId="8" fillId="0" borderId="3" xfId="0" applyFont="1" applyBorder="1" applyAlignment="1">
      <alignment horizontal="center" vertical="center"/>
    </xf>
    <xf numFmtId="0" fontId="1" fillId="0" borderId="0" xfId="1"/>
    <xf numFmtId="14" fontId="8" fillId="0" borderId="3" xfId="0" applyNumberFormat="1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5" fillId="0" borderId="4" xfId="0" applyFont="1" applyBorder="1" applyAlignment="1">
      <alignment horizontal="left" vertical="top" indent="1"/>
    </xf>
    <xf numFmtId="0" fontId="11" fillId="0" borderId="0" xfId="0" applyFont="1" applyAlignment="1">
      <alignment vertical="center"/>
    </xf>
    <xf numFmtId="0" fontId="12" fillId="0" borderId="4" xfId="0" applyFont="1" applyBorder="1" applyAlignment="1">
      <alignment horizontal="left" vertical="center" indent="1"/>
    </xf>
    <xf numFmtId="0" fontId="13" fillId="0" borderId="0" xfId="0" applyFont="1" applyAlignment="1">
      <alignment vertical="center"/>
    </xf>
    <xf numFmtId="0" fontId="14" fillId="0" borderId="4" xfId="0" applyFont="1" applyBorder="1" applyAlignment="1">
      <alignment horizontal="left" vertical="center" indent="1"/>
    </xf>
    <xf numFmtId="0" fontId="6" fillId="2" borderId="0" xfId="0" applyFont="1" applyFill="1" applyAlignment="1">
      <alignment horizontal="center" vertical="center"/>
    </xf>
    <xf numFmtId="0" fontId="9" fillId="0" borderId="0" xfId="0" applyFont="1" applyAlignment="1">
      <alignment vertical="center"/>
    </xf>
    <xf numFmtId="0" fontId="6" fillId="4" borderId="6" xfId="0" applyFont="1" applyFill="1" applyBorder="1" applyAlignment="1">
      <alignment horizontal="center" vertical="center"/>
    </xf>
    <xf numFmtId="0" fontId="15" fillId="4" borderId="7" xfId="0" applyFont="1" applyFill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0" fontId="15" fillId="4" borderId="0" xfId="0" applyFont="1" applyFill="1" applyAlignment="1">
      <alignment vertical="center" wrapText="1"/>
    </xf>
    <xf numFmtId="0" fontId="15" fillId="4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left" vertical="center" indent="1"/>
    </xf>
    <xf numFmtId="4" fontId="17" fillId="2" borderId="0" xfId="0" applyNumberFormat="1" applyFont="1" applyFill="1" applyAlignment="1">
      <alignment horizontal="center" vertical="center"/>
    </xf>
    <xf numFmtId="4" fontId="18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6" fillId="5" borderId="9" xfId="0" applyFont="1" applyFill="1" applyBorder="1" applyAlignment="1">
      <alignment horizontal="left" vertical="center" indent="1"/>
    </xf>
    <xf numFmtId="2" fontId="6" fillId="5" borderId="10" xfId="0" applyNumberFormat="1" applyFont="1" applyFill="1" applyBorder="1" applyAlignment="1">
      <alignment horizontal="center" vertical="center"/>
    </xf>
    <xf numFmtId="164" fontId="6" fillId="5" borderId="10" xfId="0" applyNumberFormat="1" applyFont="1" applyFill="1" applyBorder="1" applyAlignment="1">
      <alignment horizontal="center" vertical="center"/>
    </xf>
    <xf numFmtId="9" fontId="6" fillId="5" borderId="10" xfId="0" applyNumberFormat="1" applyFont="1" applyFill="1" applyBorder="1" applyAlignment="1">
      <alignment horizontal="center" vertical="center"/>
    </xf>
    <xf numFmtId="2" fontId="6" fillId="5" borderId="7" xfId="0" applyNumberFormat="1" applyFont="1" applyFill="1" applyBorder="1" applyAlignment="1">
      <alignment horizontal="center" vertical="center"/>
    </xf>
    <xf numFmtId="164" fontId="6" fillId="5" borderId="7" xfId="0" applyNumberFormat="1" applyFont="1" applyFill="1" applyBorder="1" applyAlignment="1">
      <alignment horizontal="center" vertical="center"/>
    </xf>
    <xf numFmtId="9" fontId="6" fillId="5" borderId="7" xfId="0" applyNumberFormat="1" applyFont="1" applyFill="1" applyBorder="1" applyAlignment="1">
      <alignment horizontal="center" vertical="center"/>
    </xf>
    <xf numFmtId="0" fontId="16" fillId="2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wrapText="1"/>
    </xf>
    <xf numFmtId="0" fontId="16" fillId="4" borderId="4" xfId="0" applyFont="1" applyFill="1" applyBorder="1" applyAlignment="1">
      <alignment horizontal="left" vertical="center" indent="1"/>
    </xf>
    <xf numFmtId="3" fontId="18" fillId="0" borderId="0" xfId="0" applyNumberFormat="1" applyFont="1" applyAlignment="1">
      <alignment vertical="center"/>
    </xf>
    <xf numFmtId="2" fontId="18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vertical="center"/>
    </xf>
    <xf numFmtId="0" fontId="16" fillId="4" borderId="0" xfId="0" applyFont="1" applyFill="1" applyAlignment="1">
      <alignment horizontal="left" vertical="center" wrapText="1" indent="1" readingOrder="1"/>
    </xf>
    <xf numFmtId="3" fontId="21" fillId="4" borderId="0" xfId="0" applyNumberFormat="1" applyFont="1" applyFill="1" applyAlignment="1">
      <alignment vertical="center"/>
    </xf>
    <xf numFmtId="3" fontId="7" fillId="0" borderId="0" xfId="0" applyNumberFormat="1" applyFont="1" applyAlignment="1">
      <alignment horizontal="right" vertical="center" wrapText="1" readingOrder="1"/>
    </xf>
    <xf numFmtId="0" fontId="6" fillId="4" borderId="0" xfId="0" applyFont="1" applyFill="1" applyAlignment="1">
      <alignment vertical="center"/>
    </xf>
    <xf numFmtId="4" fontId="6" fillId="4" borderId="0" xfId="0" applyNumberFormat="1" applyFont="1" applyFill="1" applyAlignment="1">
      <alignment vertical="center"/>
    </xf>
    <xf numFmtId="4" fontId="21" fillId="4" borderId="0" xfId="0" applyNumberFormat="1" applyFont="1" applyFill="1" applyAlignment="1">
      <alignment vertical="center"/>
    </xf>
    <xf numFmtId="3" fontId="22" fillId="0" borderId="0" xfId="0" applyNumberFormat="1" applyFont="1" applyAlignment="1">
      <alignment horizontal="center" vertical="center" wrapText="1" readingOrder="1"/>
    </xf>
    <xf numFmtId="0" fontId="11" fillId="0" borderId="0" xfId="0" applyFont="1" applyAlignment="1">
      <alignment horizontal="right" vertical="center"/>
    </xf>
    <xf numFmtId="3" fontId="6" fillId="0" borderId="0" xfId="0" applyNumberFormat="1" applyFont="1" applyAlignment="1">
      <alignment horizontal="right" vertical="center" wrapText="1" readingOrder="1"/>
    </xf>
    <xf numFmtId="3" fontId="16" fillId="0" borderId="0" xfId="0" applyNumberFormat="1" applyFont="1" applyAlignment="1">
      <alignment horizontal="right" vertical="center" wrapText="1" readingOrder="1"/>
    </xf>
    <xf numFmtId="3" fontId="6" fillId="6" borderId="11" xfId="0" applyNumberFormat="1" applyFont="1" applyFill="1" applyBorder="1" applyAlignment="1">
      <alignment horizontal="center" vertical="center" wrapText="1" readingOrder="1"/>
    </xf>
    <xf numFmtId="3" fontId="6" fillId="6" borderId="12" xfId="0" applyNumberFormat="1" applyFont="1" applyFill="1" applyBorder="1" applyAlignment="1">
      <alignment horizontal="center" vertical="center" wrapText="1" readingOrder="1"/>
    </xf>
    <xf numFmtId="164" fontId="23" fillId="5" borderId="11" xfId="0" applyNumberFormat="1" applyFont="1" applyFill="1" applyBorder="1" applyAlignment="1">
      <alignment horizontal="center" vertical="center" wrapText="1" readingOrder="1"/>
    </xf>
    <xf numFmtId="3" fontId="16" fillId="4" borderId="0" xfId="0" applyNumberFormat="1" applyFont="1" applyFill="1" applyAlignment="1">
      <alignment horizontal="center" vertical="center" wrapText="1" readingOrder="1"/>
    </xf>
    <xf numFmtId="3" fontId="16" fillId="4" borderId="13" xfId="0" applyNumberFormat="1" applyFont="1" applyFill="1" applyBorder="1" applyAlignment="1">
      <alignment horizontal="center" vertical="center" wrapText="1" readingOrder="1"/>
    </xf>
    <xf numFmtId="164" fontId="16" fillId="3" borderId="0" xfId="0" applyNumberFormat="1" applyFont="1" applyFill="1" applyAlignment="1">
      <alignment horizontal="center" vertical="center" wrapText="1" readingOrder="1"/>
    </xf>
    <xf numFmtId="3" fontId="16" fillId="3" borderId="0" xfId="0" applyNumberFormat="1" applyFont="1" applyFill="1" applyAlignment="1">
      <alignment horizontal="center" vertical="center" wrapText="1" readingOrder="1"/>
    </xf>
    <xf numFmtId="164" fontId="25" fillId="4" borderId="0" xfId="0" applyNumberFormat="1" applyFont="1" applyFill="1" applyAlignment="1">
      <alignment horizontal="center" vertical="center" wrapText="1" readingOrder="1"/>
    </xf>
    <xf numFmtId="164" fontId="25" fillId="4" borderId="13" xfId="0" applyNumberFormat="1" applyFont="1" applyFill="1" applyBorder="1" applyAlignment="1">
      <alignment horizontal="center" vertical="center" wrapText="1" readingOrder="1"/>
    </xf>
    <xf numFmtId="164" fontId="26" fillId="3" borderId="0" xfId="0" applyNumberFormat="1" applyFont="1" applyFill="1" applyAlignment="1">
      <alignment horizontal="center" vertical="center" wrapText="1" readingOrder="1"/>
    </xf>
    <xf numFmtId="3" fontId="27" fillId="0" borderId="0" xfId="0" applyNumberFormat="1" applyFont="1" applyAlignment="1">
      <alignment vertical="center"/>
    </xf>
    <xf numFmtId="164" fontId="9" fillId="0" borderId="0" xfId="0" applyNumberFormat="1" applyFont="1" applyAlignment="1">
      <alignment vertical="center"/>
    </xf>
    <xf numFmtId="3" fontId="6" fillId="3" borderId="0" xfId="0" applyNumberFormat="1" applyFont="1" applyFill="1" applyAlignment="1">
      <alignment horizontal="center" vertical="center" wrapText="1" readingOrder="1"/>
    </xf>
    <xf numFmtId="0" fontId="24" fillId="0" borderId="0" xfId="0" applyFont="1" applyAlignment="1">
      <alignment vertical="center" textRotation="90"/>
    </xf>
    <xf numFmtId="1" fontId="9" fillId="0" borderId="0" xfId="0" applyNumberFormat="1" applyFont="1" applyAlignment="1">
      <alignment vertical="center"/>
    </xf>
    <xf numFmtId="3" fontId="6" fillId="5" borderId="11" xfId="0" applyNumberFormat="1" applyFont="1" applyFill="1" applyBorder="1" applyAlignment="1">
      <alignment horizontal="center" vertical="center" wrapText="1" readingOrder="1"/>
    </xf>
    <xf numFmtId="164" fontId="16" fillId="4" borderId="0" xfId="0" applyNumberFormat="1" applyFont="1" applyFill="1" applyAlignment="1">
      <alignment horizontal="center" vertical="center" wrapText="1" readingOrder="1"/>
    </xf>
    <xf numFmtId="164" fontId="16" fillId="4" borderId="13" xfId="0" applyNumberFormat="1" applyFont="1" applyFill="1" applyBorder="1" applyAlignment="1">
      <alignment horizontal="center" vertical="center" wrapText="1" readingOrder="1"/>
    </xf>
    <xf numFmtId="165" fontId="16" fillId="4" borderId="0" xfId="0" applyNumberFormat="1" applyFont="1" applyFill="1" applyAlignment="1">
      <alignment horizontal="center" vertical="center" wrapText="1" readingOrder="1"/>
    </xf>
    <xf numFmtId="165" fontId="16" fillId="4" borderId="13" xfId="0" applyNumberFormat="1" applyFont="1" applyFill="1" applyBorder="1" applyAlignment="1">
      <alignment horizontal="center" vertical="center" wrapText="1" readingOrder="1"/>
    </xf>
    <xf numFmtId="4" fontId="16" fillId="4" borderId="0" xfId="0" applyNumberFormat="1" applyFont="1" applyFill="1" applyAlignment="1">
      <alignment horizontal="center" vertical="center" wrapText="1" readingOrder="1"/>
    </xf>
    <xf numFmtId="4" fontId="16" fillId="4" borderId="13" xfId="0" applyNumberFormat="1" applyFont="1" applyFill="1" applyBorder="1" applyAlignment="1">
      <alignment horizontal="center" vertical="center" wrapText="1" readingOrder="1"/>
    </xf>
    <xf numFmtId="3" fontId="6" fillId="6" borderId="14" xfId="0" applyNumberFormat="1" applyFont="1" applyFill="1" applyBorder="1" applyAlignment="1">
      <alignment horizontal="center" vertical="center" wrapText="1" readingOrder="1"/>
    </xf>
    <xf numFmtId="3" fontId="6" fillId="6" borderId="15" xfId="0" applyNumberFormat="1" applyFont="1" applyFill="1" applyBorder="1" applyAlignment="1">
      <alignment horizontal="center" vertical="center" wrapText="1" readingOrder="1"/>
    </xf>
    <xf numFmtId="3" fontId="6" fillId="5" borderId="14" xfId="0" applyNumberFormat="1" applyFont="1" applyFill="1" applyBorder="1" applyAlignment="1">
      <alignment horizontal="center" vertical="center" wrapText="1" readingOrder="1"/>
    </xf>
    <xf numFmtId="166" fontId="6" fillId="0" borderId="0" xfId="0" applyNumberFormat="1" applyFont="1" applyAlignment="1">
      <alignment horizontal="center" vertical="center"/>
    </xf>
    <xf numFmtId="167" fontId="16" fillId="4" borderId="16" xfId="0" applyNumberFormat="1" applyFont="1" applyFill="1" applyBorder="1" applyAlignment="1">
      <alignment horizontal="center" vertical="center"/>
    </xf>
    <xf numFmtId="167" fontId="16" fillId="4" borderId="0" xfId="0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167" fontId="16" fillId="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164" fontId="16" fillId="0" borderId="0" xfId="0" applyNumberFormat="1" applyFont="1" applyAlignment="1">
      <alignment horizontal="right" vertical="center" wrapText="1" readingOrder="1"/>
    </xf>
    <xf numFmtId="3" fontId="29" fillId="0" borderId="0" xfId="0" applyNumberFormat="1" applyFont="1" applyAlignment="1">
      <alignment vertical="center"/>
    </xf>
    <xf numFmtId="3" fontId="30" fillId="0" borderId="0" xfId="0" applyNumberFormat="1" applyFont="1" applyAlignment="1">
      <alignment vertical="center"/>
    </xf>
    <xf numFmtId="164" fontId="20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28" fillId="0" borderId="0" xfId="0" applyFont="1" applyAlignment="1">
      <alignment vertical="center" textRotation="90"/>
    </xf>
    <xf numFmtId="3" fontId="9" fillId="0" borderId="0" xfId="0" applyNumberFormat="1" applyFont="1" applyAlignment="1">
      <alignment vertical="center"/>
    </xf>
    <xf numFmtId="3" fontId="20" fillId="0" borderId="0" xfId="0" applyNumberFormat="1" applyFont="1" applyAlignment="1">
      <alignment vertical="center"/>
    </xf>
    <xf numFmtId="3" fontId="7" fillId="2" borderId="0" xfId="0" applyNumberFormat="1" applyFont="1" applyFill="1" applyAlignment="1">
      <alignment horizontal="right" vertical="center" wrapText="1" readingOrder="1"/>
    </xf>
    <xf numFmtId="0" fontId="7" fillId="0" borderId="0" xfId="0" applyFont="1" applyAlignment="1">
      <alignment horizontal="right" vertical="center"/>
    </xf>
    <xf numFmtId="0" fontId="11" fillId="2" borderId="0" xfId="0" applyFont="1" applyFill="1" applyAlignment="1">
      <alignment vertical="center"/>
    </xf>
    <xf numFmtId="3" fontId="32" fillId="0" borderId="0" xfId="0" applyNumberFormat="1" applyFont="1" applyAlignment="1">
      <alignment horizontal="right" vertical="center" wrapText="1" readingOrder="1"/>
    </xf>
    <xf numFmtId="9" fontId="11" fillId="0" borderId="0" xfId="0" applyNumberFormat="1" applyFont="1" applyAlignment="1">
      <alignment horizontal="right" vertical="center" wrapText="1" readingOrder="1"/>
    </xf>
    <xf numFmtId="0" fontId="33" fillId="0" borderId="0" xfId="0" applyFont="1" applyAlignment="1">
      <alignment horizontal="right" vertical="center" wrapText="1" readingOrder="1"/>
    </xf>
    <xf numFmtId="0" fontId="32" fillId="0" borderId="0" xfId="0" applyFont="1" applyAlignment="1">
      <alignment horizontal="right" vertical="center" wrapText="1" readingOrder="1"/>
    </xf>
    <xf numFmtId="3" fontId="32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 readingOrder="1"/>
    </xf>
    <xf numFmtId="0" fontId="32" fillId="0" borderId="0" xfId="0" applyFont="1" applyAlignment="1">
      <alignment horizontal="left" vertical="center" wrapText="1" readingOrder="1"/>
    </xf>
    <xf numFmtId="0" fontId="8" fillId="0" borderId="0" xfId="0" applyFont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24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4" borderId="0" xfId="0" applyFont="1" applyFill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3" fontId="22" fillId="0" borderId="0" xfId="0" applyNumberFormat="1" applyFont="1" applyAlignment="1">
      <alignment horizontal="center" vertical="center" wrapText="1" readingOrder="1"/>
    </xf>
    <xf numFmtId="0" fontId="28" fillId="0" borderId="0" xfId="0" applyFont="1" applyAlignment="1">
      <alignment horizontal="center" vertical="center"/>
    </xf>
    <xf numFmtId="0" fontId="1" fillId="0" borderId="0" xfId="1"/>
    <xf numFmtId="0" fontId="11" fillId="0" borderId="0" xfId="0" applyFont="1" applyAlignment="1">
      <alignment vertical="center"/>
    </xf>
  </cellXfs>
  <cellStyles count="2">
    <cellStyle name="Normal" xfId="0" builtinId="0"/>
    <cellStyle name="Normal 2" xfId="1" xr:uid="{5E836A08-49A7-423B-9990-82039A8EB1F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C-Roles-and-Responsibilities-Template8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les &amp; Responsibilities - EX"/>
      <sheetName val="Roles &amp; Responsibilities BLANK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11B0F-C0DC-4FCC-B08A-DAFB8C8C8D9C}">
  <sheetPr>
    <tabColor theme="3" tint="0.39997558519241921"/>
    <pageSetUpPr fitToPage="1"/>
  </sheetPr>
  <dimension ref="A1:EP165"/>
  <sheetViews>
    <sheetView showGridLines="0" topLeftCell="A17" zoomScale="130" zoomScaleNormal="130" workbookViewId="0">
      <selection activeCell="B43" sqref="B43"/>
    </sheetView>
  </sheetViews>
  <sheetFormatPr defaultColWidth="13.5" defaultRowHeight="11.55" outlineLevelRow="1" x14ac:dyDescent="0.25"/>
  <cols>
    <col min="1" max="1" width="3.375" style="14" customWidth="1"/>
    <col min="2" max="2" width="36.75" style="14" customWidth="1"/>
    <col min="3" max="5" width="25.625" style="14" customWidth="1"/>
    <col min="6" max="6" width="4" style="14" customWidth="1"/>
    <col min="7" max="10" width="25.625" style="14" customWidth="1"/>
    <col min="11" max="11" width="4.625" style="14" customWidth="1"/>
    <col min="12" max="12" width="25.625" style="51" customWidth="1"/>
    <col min="13" max="15" width="25.625" style="14" customWidth="1"/>
    <col min="16" max="16" width="11.875" style="14" customWidth="1"/>
    <col min="17" max="17" width="10.5" style="14" customWidth="1"/>
    <col min="18" max="18" width="11.625" style="14" customWidth="1"/>
    <col min="19" max="19" width="8.875" style="14" customWidth="1"/>
    <col min="20" max="20" width="3.125" style="14" customWidth="1"/>
    <col min="21" max="23" width="13.5" style="14" customWidth="1"/>
    <col min="24" max="24" width="10" style="14" customWidth="1"/>
    <col min="25" max="27" width="13.5" style="14" customWidth="1"/>
    <col min="28" max="16384" width="13.5" style="14"/>
  </cols>
  <sheetData>
    <row r="1" spans="2:146" s="4" customFormat="1" ht="45" customHeight="1" x14ac:dyDescent="0.25">
      <c r="B1" s="1" t="s">
        <v>0</v>
      </c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</row>
    <row r="2" spans="2:146" s="7" customFormat="1" ht="25.15" customHeight="1" x14ac:dyDescent="0.25">
      <c r="B2" s="103" t="s">
        <v>41</v>
      </c>
      <c r="C2" s="103"/>
      <c r="D2" s="5"/>
      <c r="E2" s="6"/>
      <c r="F2" s="6"/>
      <c r="G2" s="6"/>
      <c r="H2" s="6"/>
    </row>
    <row r="3" spans="2:146" s="7" customFormat="1" ht="17.850000000000001" customHeight="1" x14ac:dyDescent="0.25">
      <c r="B3" s="104"/>
      <c r="C3" s="104"/>
      <c r="D3" s="6"/>
      <c r="E3" s="6" t="s">
        <v>1</v>
      </c>
      <c r="F3" s="6"/>
      <c r="G3" s="6"/>
      <c r="H3" s="6"/>
    </row>
    <row r="4" spans="2:146" s="7" customFormat="1" ht="27.2" customHeight="1" x14ac:dyDescent="0.25">
      <c r="B4" s="8" t="s">
        <v>2</v>
      </c>
      <c r="C4" s="9"/>
      <c r="D4" s="10"/>
      <c r="E4" s="10"/>
      <c r="F4" s="6"/>
      <c r="G4" s="6"/>
      <c r="H4" s="6"/>
    </row>
    <row r="5" spans="2:146" s="12" customFormat="1" ht="25.15" customHeight="1" x14ac:dyDescent="0.25">
      <c r="B5" s="8" t="s">
        <v>3</v>
      </c>
      <c r="C5" s="11"/>
      <c r="D5" s="10"/>
      <c r="E5" s="10"/>
    </row>
    <row r="6" spans="2:146" s="12" customFormat="1" ht="11.55" customHeight="1" x14ac:dyDescent="0.25">
      <c r="B6" s="10"/>
      <c r="C6" s="10"/>
    </row>
    <row r="7" spans="2:146" ht="21.75" customHeight="1" x14ac:dyDescent="0.25">
      <c r="B7" s="13" t="s">
        <v>4</v>
      </c>
      <c r="C7" s="6"/>
      <c r="D7" s="6"/>
      <c r="E7" s="6"/>
      <c r="F7" s="6"/>
      <c r="G7" s="6"/>
      <c r="H7" s="6"/>
      <c r="I7" s="7"/>
      <c r="J7" s="7"/>
      <c r="K7" s="7"/>
      <c r="L7" s="7"/>
      <c r="M7" s="7"/>
      <c r="N7" s="7"/>
      <c r="O7" s="7"/>
    </row>
    <row r="8" spans="2:146" s="7" customFormat="1" ht="25.15" customHeight="1" x14ac:dyDescent="0.25">
      <c r="B8" s="15"/>
      <c r="C8" s="6"/>
      <c r="D8" s="6"/>
      <c r="E8" s="6"/>
      <c r="F8" s="6"/>
      <c r="G8" s="6"/>
      <c r="H8" s="6"/>
      <c r="P8" s="16"/>
      <c r="Q8" s="16"/>
      <c r="R8" s="16"/>
    </row>
    <row r="9" spans="2:146" s="19" customFormat="1" ht="18" customHeight="1" x14ac:dyDescent="0.25">
      <c r="B9" s="17"/>
      <c r="C9" s="107" t="s">
        <v>5</v>
      </c>
      <c r="D9" s="107"/>
      <c r="E9" s="107"/>
      <c r="F9" s="6"/>
      <c r="G9" s="107" t="s">
        <v>6</v>
      </c>
      <c r="H9" s="107"/>
      <c r="I9" s="107"/>
      <c r="J9" s="107"/>
      <c r="K9" s="18"/>
      <c r="L9" s="108" t="s">
        <v>7</v>
      </c>
      <c r="M9" s="108"/>
      <c r="N9" s="108"/>
      <c r="O9" s="108"/>
      <c r="P9" s="14"/>
      <c r="Q9" s="14"/>
      <c r="R9" s="14"/>
    </row>
    <row r="10" spans="2:146" s="19" customFormat="1" ht="18" customHeight="1" x14ac:dyDescent="0.25">
      <c r="B10" s="20" t="s">
        <v>8</v>
      </c>
      <c r="C10" s="21" t="s">
        <v>9</v>
      </c>
      <c r="D10" s="21" t="s">
        <v>10</v>
      </c>
      <c r="E10" s="21" t="s">
        <v>11</v>
      </c>
      <c r="F10" s="21"/>
      <c r="G10" s="22" t="s">
        <v>12</v>
      </c>
      <c r="H10" s="23" t="s">
        <v>13</v>
      </c>
      <c r="I10" s="23" t="s">
        <v>14</v>
      </c>
      <c r="J10" s="23" t="s">
        <v>15</v>
      </c>
      <c r="K10" s="23"/>
      <c r="L10" s="24" t="s">
        <v>16</v>
      </c>
      <c r="M10" s="24" t="s">
        <v>17</v>
      </c>
      <c r="N10" s="24" t="s">
        <v>18</v>
      </c>
      <c r="O10" s="24" t="s">
        <v>19</v>
      </c>
      <c r="Q10" s="7"/>
      <c r="R10" s="7"/>
    </row>
    <row r="11" spans="2:146" s="19" customFormat="1" ht="18" customHeight="1" x14ac:dyDescent="0.25">
      <c r="B11" s="25" t="s">
        <v>20</v>
      </c>
      <c r="C11" s="26"/>
      <c r="D11" s="26"/>
      <c r="E11" s="27"/>
      <c r="F11" s="27"/>
      <c r="G11" s="26"/>
      <c r="H11" s="27"/>
      <c r="I11" s="27"/>
      <c r="J11" s="27"/>
      <c r="K11" s="27"/>
      <c r="L11" s="27" t="e">
        <f>E11/G11</f>
        <v>#DIV/0!</v>
      </c>
      <c r="M11" s="27" t="e">
        <f>E11/H11</f>
        <v>#DIV/0!</v>
      </c>
      <c r="N11" s="27" t="e">
        <f>E11/I11</f>
        <v>#DIV/0!</v>
      </c>
      <c r="O11" s="27" t="e">
        <f>D11/J11</f>
        <v>#DIV/0!</v>
      </c>
      <c r="Q11" s="7"/>
      <c r="R11" s="7"/>
    </row>
    <row r="12" spans="2:146" s="19" customFormat="1" ht="18" customHeight="1" x14ac:dyDescent="0.25">
      <c r="B12" s="25" t="s">
        <v>21</v>
      </c>
      <c r="C12" s="26"/>
      <c r="D12" s="26"/>
      <c r="E12" s="27"/>
      <c r="F12" s="27"/>
      <c r="G12" s="26"/>
      <c r="H12" s="27"/>
      <c r="I12" s="27"/>
      <c r="J12" s="27"/>
      <c r="K12" s="27"/>
      <c r="L12" s="27" t="e">
        <f t="shared" ref="L12:L15" si="0">E12/G12</f>
        <v>#DIV/0!</v>
      </c>
      <c r="M12" s="27" t="e">
        <f t="shared" ref="M12:M15" si="1">E12/H12</f>
        <v>#DIV/0!</v>
      </c>
      <c r="N12" s="27" t="e">
        <f t="shared" ref="N12:N15" si="2">E12/I12</f>
        <v>#DIV/0!</v>
      </c>
      <c r="O12" s="27" t="e">
        <f t="shared" ref="O12:O15" si="3">D12/J12</f>
        <v>#DIV/0!</v>
      </c>
      <c r="Q12" s="7"/>
      <c r="R12" s="7"/>
    </row>
    <row r="13" spans="2:146" s="19" customFormat="1" ht="18" customHeight="1" x14ac:dyDescent="0.25">
      <c r="B13" s="25" t="s">
        <v>22</v>
      </c>
      <c r="C13" s="26"/>
      <c r="D13" s="26"/>
      <c r="E13" s="27"/>
      <c r="F13" s="27"/>
      <c r="G13" s="26"/>
      <c r="H13" s="27"/>
      <c r="I13" s="27"/>
      <c r="J13" s="27"/>
      <c r="K13" s="27"/>
      <c r="L13" s="27" t="e">
        <f t="shared" si="0"/>
        <v>#DIV/0!</v>
      </c>
      <c r="M13" s="27" t="e">
        <f t="shared" si="1"/>
        <v>#DIV/0!</v>
      </c>
      <c r="N13" s="27" t="e">
        <f t="shared" si="2"/>
        <v>#DIV/0!</v>
      </c>
      <c r="O13" s="27" t="e">
        <f t="shared" si="3"/>
        <v>#DIV/0!</v>
      </c>
      <c r="Q13" s="28"/>
      <c r="R13" s="28"/>
    </row>
    <row r="14" spans="2:146" s="19" customFormat="1" ht="18" customHeight="1" x14ac:dyDescent="0.25">
      <c r="B14" s="25" t="s">
        <v>23</v>
      </c>
      <c r="C14" s="26"/>
      <c r="D14" s="26"/>
      <c r="E14" s="27"/>
      <c r="F14" s="27"/>
      <c r="G14" s="26"/>
      <c r="H14" s="27"/>
      <c r="I14" s="27"/>
      <c r="J14" s="27"/>
      <c r="K14" s="27"/>
      <c r="L14" s="27" t="e">
        <f t="shared" si="0"/>
        <v>#DIV/0!</v>
      </c>
      <c r="M14" s="27" t="e">
        <f t="shared" si="1"/>
        <v>#DIV/0!</v>
      </c>
      <c r="N14" s="27" t="e">
        <f t="shared" si="2"/>
        <v>#DIV/0!</v>
      </c>
      <c r="O14" s="27" t="e">
        <f t="shared" si="3"/>
        <v>#DIV/0!</v>
      </c>
      <c r="Q14" s="28"/>
      <c r="R14" s="28"/>
    </row>
    <row r="15" spans="2:146" s="19" customFormat="1" ht="18" customHeight="1" x14ac:dyDescent="0.25">
      <c r="B15" s="25" t="s">
        <v>24</v>
      </c>
      <c r="C15" s="26"/>
      <c r="D15" s="26"/>
      <c r="E15" s="27"/>
      <c r="F15" s="27"/>
      <c r="G15" s="26"/>
      <c r="H15" s="27"/>
      <c r="I15" s="27"/>
      <c r="J15" s="27"/>
      <c r="K15" s="27"/>
      <c r="L15" s="27" t="e">
        <f t="shared" si="0"/>
        <v>#DIV/0!</v>
      </c>
      <c r="M15" s="27" t="e">
        <f t="shared" si="1"/>
        <v>#DIV/0!</v>
      </c>
      <c r="N15" s="27" t="e">
        <f t="shared" si="2"/>
        <v>#DIV/0!</v>
      </c>
      <c r="O15" s="27" t="e">
        <f t="shared" si="3"/>
        <v>#DIV/0!</v>
      </c>
      <c r="Q15" s="28"/>
      <c r="R15" s="28"/>
    </row>
    <row r="16" spans="2:146" s="19" customFormat="1" ht="18" customHeight="1" x14ac:dyDescent="0.25">
      <c r="B16" s="29" t="s">
        <v>25</v>
      </c>
      <c r="C16" s="30"/>
      <c r="D16" s="30"/>
      <c r="E16" s="31"/>
      <c r="F16" s="31"/>
      <c r="G16" s="32"/>
      <c r="H16" s="30"/>
      <c r="I16" s="30"/>
      <c r="J16" s="30"/>
      <c r="K16" s="30"/>
      <c r="L16" s="30" t="e">
        <f>AVERAGE(L11:L15)</f>
        <v>#DIV/0!</v>
      </c>
      <c r="M16" s="30" t="e">
        <f>AVERAGE(M11:M15)</f>
        <v>#DIV/0!</v>
      </c>
      <c r="N16" s="30" t="e">
        <f>AVERAGE(N11:N15)</f>
        <v>#DIV/0!</v>
      </c>
      <c r="O16" s="30" t="e">
        <f>AVERAGE(O11:O15)</f>
        <v>#DIV/0!</v>
      </c>
      <c r="Q16" s="28"/>
      <c r="R16" s="28"/>
    </row>
    <row r="17" spans="1:18" s="19" customFormat="1" ht="18" customHeight="1" x14ac:dyDescent="0.25">
      <c r="B17" s="29" t="s">
        <v>26</v>
      </c>
      <c r="C17" s="33"/>
      <c r="D17" s="33"/>
      <c r="E17" s="34"/>
      <c r="F17" s="34"/>
      <c r="G17" s="35"/>
      <c r="H17" s="33"/>
      <c r="I17" s="33"/>
      <c r="J17" s="33"/>
      <c r="K17" s="33"/>
      <c r="L17" s="33" t="e">
        <f>MEDIAN(L11:L15)</f>
        <v>#DIV/0!</v>
      </c>
      <c r="M17" s="33" t="e">
        <f>MEDIAN(M11:M15)</f>
        <v>#DIV/0!</v>
      </c>
      <c r="N17" s="33" t="e">
        <f>MEDIAN(N11:N15)</f>
        <v>#DIV/0!</v>
      </c>
      <c r="O17" s="33" t="e">
        <f>MEDIAN(O11:O15)</f>
        <v>#DIV/0!</v>
      </c>
      <c r="Q17" s="28"/>
      <c r="R17" s="28"/>
    </row>
    <row r="18" spans="1:18" s="16" customFormat="1" ht="18" customHeight="1" x14ac:dyDescent="0.2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Q18" s="28"/>
      <c r="R18" s="28"/>
    </row>
    <row r="19" spans="1:18" s="19" customFormat="1" ht="18" customHeight="1" x14ac:dyDescent="0.25">
      <c r="B19" s="28"/>
      <c r="C19" s="36"/>
      <c r="D19" s="36"/>
      <c r="E19" s="36"/>
      <c r="I19" s="36"/>
      <c r="J19" s="28"/>
      <c r="K19" s="28"/>
      <c r="L19" s="28"/>
      <c r="M19" s="28"/>
      <c r="N19" s="28"/>
      <c r="O19" s="28"/>
      <c r="Q19" s="28"/>
      <c r="R19" s="28"/>
    </row>
    <row r="20" spans="1:18" s="19" customFormat="1" ht="18" customHeight="1" x14ac:dyDescent="0.25">
      <c r="B20" s="13" t="s">
        <v>27</v>
      </c>
      <c r="C20" s="36"/>
      <c r="D20" s="36"/>
      <c r="E20" s="36"/>
      <c r="I20" s="36"/>
      <c r="J20" s="28"/>
      <c r="K20" s="28"/>
      <c r="L20" s="28"/>
      <c r="M20" s="28"/>
      <c r="N20" s="28"/>
      <c r="O20" s="28"/>
      <c r="Q20" s="28"/>
      <c r="R20" s="28"/>
    </row>
    <row r="21" spans="1:18" s="19" customFormat="1" ht="18" customHeight="1" x14ac:dyDescent="0.25">
      <c r="B21" s="15"/>
      <c r="C21" s="37"/>
      <c r="D21" s="37"/>
      <c r="E21" s="37"/>
      <c r="I21" s="36"/>
      <c r="J21" s="28"/>
      <c r="K21" s="28"/>
      <c r="L21" s="28"/>
      <c r="M21" s="28"/>
      <c r="N21" s="28"/>
      <c r="O21" s="28"/>
      <c r="Q21" s="28"/>
      <c r="R21" s="28"/>
    </row>
    <row r="22" spans="1:18" s="19" customFormat="1" ht="18" customHeight="1" x14ac:dyDescent="0.25">
      <c r="A22" s="28"/>
      <c r="B22" s="17"/>
      <c r="C22" s="28"/>
      <c r="D22" s="28"/>
      <c r="E22" s="28"/>
      <c r="F22" s="16"/>
      <c r="G22" s="16"/>
      <c r="H22" s="16"/>
      <c r="I22" s="36"/>
      <c r="J22" s="28"/>
      <c r="K22" s="28"/>
      <c r="L22" s="28"/>
      <c r="M22" s="28"/>
      <c r="N22" s="28"/>
      <c r="O22" s="28"/>
      <c r="P22" s="28"/>
      <c r="Q22" s="28"/>
      <c r="R22" s="28"/>
    </row>
    <row r="23" spans="1:18" s="19" customFormat="1" ht="18" customHeight="1" x14ac:dyDescent="0.25">
      <c r="A23" s="28"/>
      <c r="B23" s="20" t="s">
        <v>28</v>
      </c>
      <c r="C23" s="20">
        <f>C4</f>
        <v>0</v>
      </c>
      <c r="D23" s="20" t="s">
        <v>29</v>
      </c>
      <c r="E23" s="20" t="s">
        <v>30</v>
      </c>
      <c r="F23" s="14"/>
      <c r="G23" s="14"/>
      <c r="H23" s="14"/>
      <c r="I23" s="14"/>
      <c r="J23" s="28"/>
      <c r="K23" s="28"/>
      <c r="L23" s="28"/>
      <c r="M23" s="28"/>
      <c r="N23" s="28"/>
      <c r="O23" s="28"/>
      <c r="P23" s="28"/>
      <c r="Q23" s="28"/>
      <c r="R23" s="28"/>
    </row>
    <row r="24" spans="1:18" s="19" customFormat="1" ht="18" customHeight="1" x14ac:dyDescent="0.25">
      <c r="A24" s="28"/>
      <c r="B24" s="38" t="s">
        <v>13</v>
      </c>
      <c r="C24" s="39"/>
      <c r="D24" s="40" t="e">
        <f>M17</f>
        <v>#DIV/0!</v>
      </c>
      <c r="E24" s="39" t="e">
        <f>D24*C24</f>
        <v>#DIV/0!</v>
      </c>
      <c r="F24" s="7"/>
      <c r="G24" s="7"/>
      <c r="H24" s="7"/>
      <c r="I24" s="14"/>
      <c r="J24" s="14"/>
      <c r="K24" s="14"/>
      <c r="L24" s="14"/>
      <c r="M24" s="14"/>
      <c r="N24" s="14"/>
      <c r="O24" s="14"/>
      <c r="P24" s="28"/>
      <c r="Q24" s="28"/>
      <c r="R24" s="28"/>
    </row>
    <row r="25" spans="1:18" s="16" customFormat="1" ht="18" customHeight="1" x14ac:dyDescent="0.25">
      <c r="A25" s="28"/>
      <c r="B25" s="38" t="s">
        <v>14</v>
      </c>
      <c r="C25" s="39"/>
      <c r="D25" s="40" t="e">
        <f>N17</f>
        <v>#DIV/0!</v>
      </c>
      <c r="E25" s="39" t="e">
        <f t="shared" ref="E25:E26" si="4">D25*C25</f>
        <v>#DIV/0!</v>
      </c>
      <c r="F25" s="7"/>
      <c r="G25" s="10"/>
      <c r="H25" s="10"/>
      <c r="I25" s="7"/>
      <c r="J25" s="7"/>
      <c r="K25" s="7"/>
      <c r="L25" s="7"/>
      <c r="M25" s="7"/>
      <c r="N25" s="7"/>
      <c r="O25" s="7"/>
      <c r="P25" s="28"/>
      <c r="Q25" s="28"/>
      <c r="R25" s="28"/>
    </row>
    <row r="26" spans="1:18" ht="14.95" customHeight="1" x14ac:dyDescent="0.25">
      <c r="A26" s="28"/>
      <c r="B26" s="38" t="s">
        <v>31</v>
      </c>
      <c r="C26" s="39"/>
      <c r="D26" s="40" t="e">
        <f>O17</f>
        <v>#DIV/0!</v>
      </c>
      <c r="E26" s="39" t="e">
        <f t="shared" si="4"/>
        <v>#DIV/0!</v>
      </c>
      <c r="F26" s="7"/>
      <c r="G26" s="10"/>
      <c r="H26" s="10"/>
      <c r="I26" s="7"/>
      <c r="J26" s="7"/>
      <c r="K26" s="7"/>
      <c r="L26" s="7"/>
      <c r="M26" s="7"/>
      <c r="N26" s="7"/>
      <c r="O26" s="7"/>
      <c r="P26" s="28"/>
      <c r="Q26" s="28"/>
      <c r="R26" s="28"/>
    </row>
    <row r="27" spans="1:18" s="7" customFormat="1" ht="25.15" customHeight="1" outlineLevel="1" x14ac:dyDescent="0.25">
      <c r="A27" s="14"/>
      <c r="F27" s="28"/>
      <c r="G27" s="10"/>
      <c r="H27" s="10"/>
      <c r="I27" s="41"/>
      <c r="J27" s="41"/>
      <c r="K27" s="41"/>
      <c r="L27" s="41"/>
      <c r="M27" s="41"/>
      <c r="N27" s="41"/>
      <c r="O27" s="41"/>
      <c r="P27" s="14"/>
      <c r="Q27" s="14"/>
      <c r="R27" s="14"/>
    </row>
    <row r="28" spans="1:18" s="7" customFormat="1" ht="25.15" customHeight="1" outlineLevel="1" x14ac:dyDescent="0.25">
      <c r="B28" s="42" t="s">
        <v>32</v>
      </c>
      <c r="C28" s="43"/>
      <c r="D28" s="41"/>
      <c r="E28" s="41"/>
      <c r="F28" s="28"/>
      <c r="G28" s="41"/>
      <c r="H28" s="41"/>
      <c r="I28" s="41"/>
      <c r="J28" s="41"/>
      <c r="K28" s="41"/>
      <c r="L28" s="41"/>
      <c r="M28" s="41"/>
      <c r="N28" s="41"/>
      <c r="O28" s="41"/>
    </row>
    <row r="29" spans="1:18" s="7" customFormat="1" ht="18" customHeight="1" outlineLevel="1" x14ac:dyDescent="0.25">
      <c r="B29" s="44" t="s">
        <v>33</v>
      </c>
      <c r="C29" s="45" t="e">
        <f>E26</f>
        <v>#DIV/0!</v>
      </c>
      <c r="D29" s="41"/>
      <c r="E29" s="41"/>
      <c r="F29" s="28"/>
      <c r="G29" s="41"/>
      <c r="H29" s="41"/>
      <c r="I29" s="41"/>
      <c r="J29" s="41"/>
      <c r="K29" s="41"/>
      <c r="L29" s="41"/>
      <c r="M29" s="41"/>
      <c r="N29" s="41"/>
      <c r="O29" s="41"/>
    </row>
    <row r="30" spans="1:18" s="28" customFormat="1" ht="19.7" customHeight="1" outlineLevel="1" x14ac:dyDescent="0.25">
      <c r="A30" s="46"/>
      <c r="B30" s="44" t="s">
        <v>34</v>
      </c>
      <c r="C30" s="45"/>
      <c r="D30" s="41"/>
      <c r="E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</row>
    <row r="31" spans="1:18" s="28" customFormat="1" ht="18" customHeight="1" outlineLevel="1" x14ac:dyDescent="0.25">
      <c r="A31" s="46"/>
      <c r="B31" s="47" t="s">
        <v>35</v>
      </c>
      <c r="C31" s="48" t="e">
        <f>C29/C30</f>
        <v>#DIV/0!</v>
      </c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</row>
    <row r="32" spans="1:18" s="28" customFormat="1" ht="18" customHeight="1" outlineLevel="1" x14ac:dyDescent="0.25">
      <c r="A32" s="46"/>
      <c r="B32" s="44" t="s">
        <v>36</v>
      </c>
      <c r="C32" s="49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</row>
    <row r="33" spans="1:18" s="28" customFormat="1" ht="57.1" customHeight="1" outlineLevel="1" x14ac:dyDescent="0.25">
      <c r="A33" s="46"/>
      <c r="B33" s="109" t="e">
        <f>IF(C31 &lt; 0, C4 &amp; "’s financial performance does not support its current market valuation when benchmarked purely on earnings-based valuation models.",
 IF(C31 &gt; C32, C4 &amp; " is undervalued by ~" &amp; TEXT((C31/C32 - 1)*100, "0") &amp; "% relative to its peer-based implied valuation.",
 C4 &amp; " is overvalued by ~" &amp; TEXT((1 - C31/C32)*100, "0") &amp; "% relative to its peer-based implied valuation."))</f>
        <v>#DIV/0!</v>
      </c>
      <c r="C33" s="109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</row>
    <row r="34" spans="1:18" s="28" customFormat="1" ht="18" customHeight="1" outlineLevel="1" x14ac:dyDescent="0.25">
      <c r="B34" s="50"/>
      <c r="C34" s="50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</row>
    <row r="35" spans="1:18" s="28" customFormat="1" ht="18" customHeight="1" outlineLevel="1" x14ac:dyDescent="0.25">
      <c r="B35" s="50"/>
      <c r="C35" s="50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1:18" s="28" customFormat="1" ht="18" customHeight="1" outlineLevel="1" x14ac:dyDescent="0.25"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</row>
    <row r="37" spans="1:18" s="28" customFormat="1" ht="18" customHeight="1" outlineLevel="1" x14ac:dyDescent="0.25"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</row>
    <row r="38" spans="1:18" s="28" customFormat="1" ht="18" customHeight="1" outlineLevel="1" x14ac:dyDescent="0.25">
      <c r="P38" s="41"/>
      <c r="Q38" s="41"/>
      <c r="R38" s="41"/>
    </row>
    <row r="39" spans="1:18" s="28" customFormat="1" ht="18" customHeight="1" outlineLevel="1" x14ac:dyDescent="0.25">
      <c r="P39" s="41"/>
      <c r="Q39" s="41"/>
      <c r="R39" s="41"/>
    </row>
    <row r="40" spans="1:18" s="28" customFormat="1" ht="18" customHeight="1" outlineLevel="1" x14ac:dyDescent="0.25">
      <c r="P40" s="41"/>
      <c r="Q40" s="41"/>
      <c r="R40" s="41"/>
    </row>
    <row r="41" spans="1:18" s="28" customFormat="1" ht="18" customHeight="1" outlineLevel="1" x14ac:dyDescent="0.25">
      <c r="B41" s="46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</row>
    <row r="42" spans="1:18" s="28" customFormat="1" ht="45" customHeight="1" outlineLevel="1" x14ac:dyDescent="0.25">
      <c r="B42" s="46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</row>
    <row r="43" spans="1:18" s="28" customFormat="1" ht="18" customHeight="1" outlineLevel="1" x14ac:dyDescent="0.25">
      <c r="B43" s="10"/>
      <c r="C43" s="10"/>
      <c r="D43" s="10"/>
      <c r="E43" s="10"/>
      <c r="F43" s="10"/>
      <c r="G43" s="10"/>
      <c r="H43" s="10"/>
    </row>
    <row r="44" spans="1:18" ht="14.95" customHeight="1" x14ac:dyDescent="0.25">
      <c r="B44" s="10"/>
      <c r="C44" s="10"/>
      <c r="D44" s="10"/>
      <c r="E44" s="10"/>
      <c r="F44" s="10"/>
      <c r="G44" s="10"/>
      <c r="H44" s="10"/>
    </row>
    <row r="45" spans="1:18" s="7" customFormat="1" ht="25.15" customHeight="1" outlineLevel="1" x14ac:dyDescent="0.25">
      <c r="B45" s="10"/>
      <c r="C45" s="10"/>
      <c r="D45" s="10"/>
      <c r="E45" s="10"/>
      <c r="F45" s="10"/>
      <c r="G45" s="10"/>
      <c r="H45" s="10"/>
    </row>
    <row r="46" spans="1:18" s="7" customFormat="1" ht="18" customHeight="1" outlineLevel="1" x14ac:dyDescent="0.25">
      <c r="B46" s="10"/>
      <c r="C46" s="10"/>
      <c r="D46" s="10"/>
      <c r="E46" s="10"/>
      <c r="F46" s="10"/>
      <c r="G46" s="10"/>
      <c r="H46" s="10"/>
    </row>
    <row r="47" spans="1:18" s="41" customFormat="1" ht="18" customHeight="1" outlineLevel="1" x14ac:dyDescent="0.25">
      <c r="B47" s="10"/>
      <c r="C47" s="10"/>
      <c r="D47" s="10"/>
      <c r="E47" s="10"/>
      <c r="F47" s="10"/>
      <c r="G47" s="10"/>
      <c r="H47" s="10"/>
    </row>
    <row r="48" spans="1:18" s="41" customFormat="1" ht="18" customHeight="1" outlineLevel="1" x14ac:dyDescent="0.25">
      <c r="B48" s="10"/>
      <c r="C48" s="10"/>
      <c r="D48" s="10"/>
      <c r="E48" s="10"/>
      <c r="F48" s="10"/>
      <c r="G48" s="10"/>
      <c r="H48" s="10"/>
    </row>
    <row r="49" spans="2:12" s="41" customFormat="1" ht="18" customHeight="1" outlineLevel="1" x14ac:dyDescent="0.25">
      <c r="B49" s="10"/>
      <c r="C49" s="10"/>
      <c r="D49" s="10"/>
      <c r="E49" s="10"/>
      <c r="F49" s="10"/>
      <c r="G49" s="10"/>
      <c r="H49" s="10"/>
    </row>
    <row r="50" spans="2:12" s="41" customFormat="1" ht="18" customHeight="1" outlineLevel="1" x14ac:dyDescent="0.25">
      <c r="B50" s="10"/>
      <c r="C50" s="10"/>
      <c r="D50" s="10"/>
      <c r="E50" s="10"/>
      <c r="F50" s="10"/>
      <c r="G50" s="10"/>
      <c r="H50" s="10"/>
    </row>
    <row r="51" spans="2:12" s="41" customFormat="1" ht="18" customHeight="1" outlineLevel="1" x14ac:dyDescent="0.25">
      <c r="B51" s="10"/>
      <c r="C51" s="10"/>
      <c r="D51" s="10"/>
      <c r="E51" s="10"/>
      <c r="F51" s="10"/>
      <c r="G51" s="10"/>
      <c r="H51" s="10"/>
    </row>
    <row r="52" spans="2:12" s="41" customFormat="1" ht="18" customHeight="1" outlineLevel="1" x14ac:dyDescent="0.25">
      <c r="B52" s="10"/>
      <c r="C52" s="10"/>
      <c r="D52" s="10"/>
      <c r="E52" s="10"/>
      <c r="F52" s="10"/>
      <c r="G52" s="10"/>
      <c r="H52" s="10"/>
    </row>
    <row r="53" spans="2:12" s="41" customFormat="1" ht="18" customHeight="1" outlineLevel="1" x14ac:dyDescent="0.25">
      <c r="B53" s="10"/>
      <c r="C53" s="10"/>
      <c r="D53" s="10"/>
      <c r="E53" s="10"/>
      <c r="F53" s="10"/>
      <c r="G53" s="10"/>
      <c r="H53" s="10"/>
    </row>
    <row r="54" spans="2:12" s="41" customFormat="1" ht="18" customHeight="1" outlineLevel="1" x14ac:dyDescent="0.25">
      <c r="B54" s="10"/>
      <c r="C54" s="10"/>
      <c r="D54" s="10"/>
      <c r="E54" s="10"/>
      <c r="F54" s="10"/>
      <c r="G54" s="10"/>
      <c r="H54" s="10"/>
    </row>
    <row r="55" spans="2:12" s="41" customFormat="1" ht="18" customHeight="1" outlineLevel="1" x14ac:dyDescent="0.25">
      <c r="B55" s="10"/>
      <c r="C55" s="10"/>
      <c r="D55" s="10"/>
      <c r="E55" s="10"/>
      <c r="F55" s="10"/>
      <c r="G55" s="10"/>
      <c r="H55" s="10"/>
    </row>
    <row r="56" spans="2:12" s="41" customFormat="1" ht="18" customHeight="1" outlineLevel="1" x14ac:dyDescent="0.25">
      <c r="B56" s="10"/>
      <c r="C56" s="10"/>
      <c r="D56" s="10"/>
      <c r="E56" s="10"/>
      <c r="F56" s="10"/>
      <c r="G56" s="10"/>
      <c r="H56" s="10"/>
    </row>
    <row r="57" spans="2:12" s="41" customFormat="1" ht="18" customHeight="1" outlineLevel="1" x14ac:dyDescent="0.25">
      <c r="B57" s="10"/>
      <c r="C57" s="10"/>
      <c r="D57" s="10"/>
      <c r="E57" s="10"/>
      <c r="F57" s="10"/>
      <c r="G57" s="10"/>
      <c r="H57" s="10"/>
    </row>
    <row r="58" spans="2:12" s="41" customFormat="1" ht="18" customHeight="1" outlineLevel="1" x14ac:dyDescent="0.25">
      <c r="B58" s="10"/>
      <c r="C58" s="10"/>
      <c r="D58" s="10"/>
      <c r="E58" s="10"/>
      <c r="F58" s="10"/>
      <c r="G58" s="10"/>
      <c r="H58" s="10"/>
    </row>
    <row r="59" spans="2:12" s="41" customFormat="1" ht="18" customHeight="1" outlineLevel="1" x14ac:dyDescent="0.25">
      <c r="B59" s="10"/>
      <c r="C59" s="10"/>
      <c r="D59" s="10"/>
      <c r="E59" s="10"/>
      <c r="F59" s="10"/>
      <c r="G59" s="10"/>
      <c r="H59" s="10"/>
    </row>
    <row r="60" spans="2:12" s="41" customFormat="1" ht="18" customHeight="1" outlineLevel="1" x14ac:dyDescent="0.25">
      <c r="B60" s="10"/>
      <c r="C60" s="10"/>
      <c r="D60" s="10"/>
      <c r="E60" s="10"/>
      <c r="F60" s="10"/>
      <c r="G60" s="10"/>
      <c r="H60" s="10"/>
      <c r="I60" s="46"/>
    </row>
    <row r="61" spans="2:12" s="41" customFormat="1" ht="18" customHeight="1" outlineLevel="1" x14ac:dyDescent="0.25">
      <c r="B61" s="10"/>
      <c r="C61" s="10"/>
      <c r="D61" s="10"/>
      <c r="E61" s="10"/>
      <c r="F61" s="10"/>
      <c r="G61" s="10"/>
      <c r="H61" s="10"/>
      <c r="I61" s="46"/>
    </row>
    <row r="62" spans="2:12" s="19" customFormat="1" ht="12.1" customHeight="1" outlineLevel="1" x14ac:dyDescent="0.25">
      <c r="B62" s="10"/>
      <c r="C62" s="10"/>
      <c r="D62" s="10"/>
      <c r="E62" s="10"/>
      <c r="F62" s="10"/>
      <c r="G62" s="10"/>
      <c r="H62" s="10"/>
      <c r="I62" s="52"/>
      <c r="J62" s="52"/>
      <c r="K62" s="52"/>
      <c r="L62" s="53"/>
    </row>
    <row r="63" spans="2:12" s="7" customFormat="1" ht="25.15" customHeight="1" outlineLevel="1" x14ac:dyDescent="0.25">
      <c r="B63" s="10"/>
      <c r="C63" s="10"/>
      <c r="D63" s="10"/>
      <c r="E63" s="10"/>
      <c r="F63" s="10"/>
      <c r="G63" s="10"/>
      <c r="H63" s="10"/>
    </row>
    <row r="64" spans="2:12" s="19" customFormat="1" ht="12.1" customHeight="1" outlineLevel="1" x14ac:dyDescent="0.25">
      <c r="B64" s="10"/>
      <c r="C64" s="10"/>
      <c r="D64" s="10"/>
      <c r="E64" s="10"/>
      <c r="F64" s="10"/>
      <c r="G64" s="10"/>
      <c r="H64" s="10"/>
      <c r="I64" s="52"/>
      <c r="J64" s="52"/>
      <c r="K64" s="52"/>
      <c r="L64" s="53"/>
    </row>
    <row r="65" spans="2:19" s="19" customFormat="1" ht="18" customHeight="1" x14ac:dyDescent="0.25">
      <c r="B65" s="10"/>
      <c r="C65" s="10"/>
      <c r="D65" s="10"/>
      <c r="E65" s="10"/>
      <c r="F65" s="10"/>
      <c r="G65" s="10"/>
      <c r="H65" s="10"/>
      <c r="I65" s="54" t="e">
        <f>#REF!+#REF!</f>
        <v>#REF!</v>
      </c>
      <c r="J65" s="55" t="e">
        <f>#REF!+#REF!</f>
        <v>#REF!</v>
      </c>
      <c r="K65" s="54"/>
      <c r="L65" s="56" t="e">
        <f>(J65/F65)^(1/4)-1</f>
        <v>#REF!</v>
      </c>
    </row>
    <row r="66" spans="2:19" s="19" customFormat="1" ht="18" customHeight="1" x14ac:dyDescent="0.25">
      <c r="B66" s="10"/>
      <c r="C66" s="10"/>
      <c r="D66" s="10"/>
      <c r="E66" s="10"/>
      <c r="F66" s="10"/>
      <c r="G66" s="10"/>
      <c r="H66" s="10"/>
      <c r="I66" s="57" t="e">
        <f>CCA!$C$59*-I65</f>
        <v>#REF!</v>
      </c>
      <c r="J66" s="58" t="e">
        <f>CCA!$C$59*-J65</f>
        <v>#REF!</v>
      </c>
      <c r="K66" s="57"/>
      <c r="L66" s="59" t="str">
        <f>IFERROR((J66/F66)^(1/4)-1,"N/A")</f>
        <v>N/A</v>
      </c>
    </row>
    <row r="67" spans="2:19" s="19" customFormat="1" ht="18" customHeight="1" x14ac:dyDescent="0.25">
      <c r="B67" s="10"/>
      <c r="C67" s="10"/>
      <c r="D67" s="10"/>
      <c r="E67" s="10"/>
      <c r="F67" s="10"/>
      <c r="G67" s="10"/>
      <c r="H67" s="10"/>
      <c r="I67" s="57" t="e">
        <f>-(I68*#REF!)</f>
        <v>#REF!</v>
      </c>
      <c r="J67" s="58" t="e">
        <f>-(J68*#REF!)</f>
        <v>#REF!</v>
      </c>
      <c r="K67" s="57"/>
      <c r="L67" s="60" t="str">
        <f>IFERROR((J67/F67)^(1/4)-1,"n.a.")</f>
        <v>n.a.</v>
      </c>
      <c r="O67" s="105"/>
      <c r="P67" s="106"/>
      <c r="Q67" s="106"/>
      <c r="R67" s="106"/>
      <c r="S67" s="106"/>
    </row>
    <row r="68" spans="2:19" s="19" customFormat="1" ht="18" customHeight="1" x14ac:dyDescent="0.25">
      <c r="B68" s="10"/>
      <c r="C68" s="10"/>
      <c r="D68" s="10"/>
      <c r="E68" s="10"/>
      <c r="F68" s="10"/>
      <c r="G68" s="10"/>
      <c r="H68" s="10"/>
      <c r="I68" s="61">
        <f>H68</f>
        <v>0</v>
      </c>
      <c r="J68" s="62">
        <f>I68</f>
        <v>0</v>
      </c>
      <c r="K68" s="61"/>
      <c r="L68" s="63"/>
      <c r="M68" s="64"/>
      <c r="N68" s="64"/>
      <c r="O68" s="65"/>
      <c r="P68" s="65"/>
      <c r="Q68" s="65"/>
      <c r="R68" s="65"/>
      <c r="S68" s="65"/>
    </row>
    <row r="69" spans="2:19" s="19" customFormat="1" ht="18" customHeight="1" x14ac:dyDescent="0.25">
      <c r="B69" s="10"/>
      <c r="C69" s="10"/>
      <c r="D69" s="10"/>
      <c r="E69" s="10"/>
      <c r="F69" s="10"/>
      <c r="G69" s="10"/>
      <c r="H69" s="10"/>
      <c r="I69" s="57" t="e">
        <f>I70*#REF!</f>
        <v>#REF!</v>
      </c>
      <c r="J69" s="58" t="e">
        <f>J70*#REF!</f>
        <v>#REF!</v>
      </c>
      <c r="K69" s="57"/>
      <c r="L69" s="60"/>
    </row>
    <row r="70" spans="2:19" s="19" customFormat="1" ht="18" customHeight="1" x14ac:dyDescent="0.25">
      <c r="B70" s="10"/>
      <c r="C70" s="10"/>
      <c r="D70" s="10"/>
      <c r="E70" s="10"/>
      <c r="F70" s="10"/>
      <c r="G70" s="10"/>
      <c r="H70" s="10"/>
      <c r="I70" s="61">
        <f>H70</f>
        <v>0</v>
      </c>
      <c r="J70" s="62">
        <f>I70</f>
        <v>0</v>
      </c>
      <c r="K70" s="61"/>
      <c r="L70" s="60"/>
    </row>
    <row r="71" spans="2:19" s="19" customFormat="1" ht="18" customHeight="1" x14ac:dyDescent="0.25">
      <c r="B71" s="10"/>
      <c r="C71" s="10"/>
      <c r="D71" s="10"/>
      <c r="E71" s="10"/>
      <c r="F71" s="10"/>
      <c r="G71" s="10"/>
      <c r="H71" s="10"/>
      <c r="I71" s="57" t="e">
        <f>H69-I69</f>
        <v>#REF!</v>
      </c>
      <c r="J71" s="58" t="e">
        <f>I69-J69</f>
        <v>#REF!</v>
      </c>
      <c r="K71" s="57"/>
      <c r="L71" s="66"/>
      <c r="M71" s="67"/>
      <c r="N71" s="65"/>
      <c r="O71" s="68"/>
      <c r="P71" s="68"/>
      <c r="Q71" s="68"/>
      <c r="R71" s="68"/>
      <c r="S71" s="68"/>
    </row>
    <row r="72" spans="2:19" s="19" customFormat="1" ht="18" customHeight="1" x14ac:dyDescent="0.25">
      <c r="B72" s="10"/>
      <c r="C72" s="10"/>
      <c r="D72" s="10"/>
      <c r="E72" s="10"/>
      <c r="F72" s="10"/>
      <c r="G72" s="10"/>
      <c r="H72" s="10"/>
      <c r="I72" s="54" t="e">
        <f>#REF!+I66+I67+I71</f>
        <v>#REF!</v>
      </c>
      <c r="J72" s="55" t="e">
        <f>#REF!+J66+J67+J71</f>
        <v>#REF!</v>
      </c>
      <c r="K72" s="54"/>
      <c r="L72" s="69"/>
      <c r="M72" s="67"/>
      <c r="N72" s="65"/>
      <c r="O72" s="68"/>
      <c r="P72" s="68"/>
      <c r="Q72" s="68"/>
      <c r="R72" s="68"/>
      <c r="S72" s="68"/>
    </row>
    <row r="73" spans="2:19" s="19" customFormat="1" ht="18" customHeight="1" x14ac:dyDescent="0.25">
      <c r="B73" s="10"/>
      <c r="C73" s="10"/>
      <c r="D73" s="10"/>
      <c r="E73" s="10"/>
      <c r="F73" s="10"/>
      <c r="G73" s="10"/>
      <c r="H73" s="10"/>
      <c r="I73" s="70">
        <f>WACC</f>
        <v>0</v>
      </c>
      <c r="J73" s="71">
        <f>WACC</f>
        <v>0</v>
      </c>
      <c r="K73" s="70"/>
      <c r="L73" s="60"/>
    </row>
    <row r="74" spans="2:19" s="19" customFormat="1" ht="18" customHeight="1" x14ac:dyDescent="0.25">
      <c r="B74" s="10"/>
      <c r="C74" s="10"/>
      <c r="D74" s="10"/>
      <c r="E74" s="10"/>
      <c r="F74" s="10"/>
      <c r="G74" s="10"/>
      <c r="H74" s="10"/>
      <c r="I74" s="72">
        <f>H74+1</f>
        <v>1</v>
      </c>
      <c r="J74" s="73">
        <f>I74+1</f>
        <v>2</v>
      </c>
      <c r="K74" s="72"/>
      <c r="L74" s="60"/>
    </row>
    <row r="75" spans="2:19" s="19" customFormat="1" ht="18" customHeight="1" x14ac:dyDescent="0.25">
      <c r="B75" s="10"/>
      <c r="C75" s="10"/>
      <c r="D75" s="10"/>
      <c r="E75" s="10"/>
      <c r="F75" s="10"/>
      <c r="G75" s="10"/>
      <c r="H75" s="10"/>
      <c r="I75" s="74">
        <f>1/((1+I73)^I74)</f>
        <v>1</v>
      </c>
      <c r="J75" s="75">
        <f>1/((1+J73)^J74)</f>
        <v>1</v>
      </c>
      <c r="K75" s="74"/>
      <c r="L75" s="60"/>
    </row>
    <row r="76" spans="2:19" s="19" customFormat="1" ht="18" customHeight="1" thickBot="1" x14ac:dyDescent="0.3">
      <c r="B76" s="10"/>
      <c r="C76" s="10"/>
      <c r="D76" s="10"/>
      <c r="E76" s="10"/>
      <c r="F76" s="10"/>
      <c r="G76" s="10"/>
      <c r="H76" s="10"/>
      <c r="I76" s="76" t="e">
        <f>I75*I72</f>
        <v>#REF!</v>
      </c>
      <c r="J76" s="77" t="e">
        <f>J75*J72</f>
        <v>#REF!</v>
      </c>
      <c r="K76" s="76"/>
      <c r="L76" s="78"/>
      <c r="M76" s="67"/>
      <c r="N76" s="65"/>
      <c r="O76" s="68"/>
      <c r="P76" s="68"/>
      <c r="Q76" s="68"/>
      <c r="R76" s="68"/>
      <c r="S76" s="68"/>
    </row>
    <row r="77" spans="2:19" s="19" customFormat="1" ht="18" customHeight="1" thickTop="1" x14ac:dyDescent="0.25">
      <c r="B77" s="10"/>
      <c r="C77" s="10"/>
      <c r="D77" s="10"/>
      <c r="E77" s="10"/>
      <c r="F77" s="10"/>
      <c r="G77" s="10"/>
      <c r="H77" s="10"/>
      <c r="I77" s="52"/>
      <c r="J77" s="52"/>
      <c r="K77" s="52"/>
      <c r="L77" s="53"/>
    </row>
    <row r="78" spans="2:19" s="19" customFormat="1" ht="18" customHeight="1" x14ac:dyDescent="0.25">
      <c r="B78" s="10"/>
      <c r="C78" s="10"/>
      <c r="D78" s="10"/>
      <c r="E78" s="10"/>
      <c r="F78" s="10"/>
      <c r="G78" s="10"/>
      <c r="H78" s="10"/>
      <c r="I78" s="79" t="e">
        <f>#REF!</f>
        <v>#REF!</v>
      </c>
      <c r="J78" s="79" t="e">
        <f>#REF!</f>
        <v>#REF!</v>
      </c>
      <c r="K78" s="79"/>
      <c r="L78" s="53"/>
    </row>
    <row r="79" spans="2:19" s="19" customFormat="1" ht="18" customHeight="1" x14ac:dyDescent="0.25">
      <c r="B79" s="10"/>
      <c r="C79" s="10"/>
      <c r="D79" s="10"/>
      <c r="E79" s="10"/>
      <c r="F79" s="10"/>
      <c r="G79" s="10"/>
      <c r="H79" s="10"/>
      <c r="I79" s="80" t="e">
        <f>EV/#REF!</f>
        <v>#REF!</v>
      </c>
      <c r="J79" s="80" t="e">
        <f>EV/#REF!</f>
        <v>#REF!</v>
      </c>
      <c r="K79" s="81"/>
      <c r="L79" s="53"/>
    </row>
    <row r="80" spans="2:19" s="19" customFormat="1" ht="18" customHeight="1" outlineLevel="1" x14ac:dyDescent="0.25">
      <c r="B80" s="10"/>
      <c r="C80" s="10"/>
      <c r="D80" s="10"/>
      <c r="E80" s="10"/>
      <c r="F80" s="10"/>
      <c r="G80" s="10"/>
      <c r="H80" s="10"/>
      <c r="I80" s="81"/>
      <c r="J80" s="81"/>
      <c r="K80" s="81"/>
      <c r="L80" s="53"/>
    </row>
    <row r="81" spans="2:19" s="19" customFormat="1" ht="18" customHeight="1" outlineLevel="1" x14ac:dyDescent="0.25">
      <c r="B81" s="10"/>
      <c r="C81" s="10"/>
      <c r="D81" s="10"/>
      <c r="E81" s="10"/>
      <c r="F81" s="10"/>
      <c r="G81" s="10"/>
      <c r="H81" s="10"/>
      <c r="I81" s="81"/>
      <c r="J81" s="81"/>
      <c r="K81" s="81"/>
      <c r="L81" s="53"/>
    </row>
    <row r="82" spans="2:19" s="19" customFormat="1" ht="18" customHeight="1" outlineLevel="1" x14ac:dyDescent="0.25">
      <c r="B82" s="10"/>
      <c r="C82" s="10"/>
      <c r="D82" s="10"/>
      <c r="E82" s="10"/>
      <c r="F82" s="10"/>
      <c r="G82" s="10"/>
      <c r="H82" s="10"/>
      <c r="I82" s="82"/>
      <c r="J82" s="82"/>
      <c r="K82" s="82"/>
      <c r="L82" s="53"/>
    </row>
    <row r="83" spans="2:19" s="19" customFormat="1" ht="18" customHeight="1" x14ac:dyDescent="0.25">
      <c r="B83" s="10"/>
      <c r="C83" s="10"/>
      <c r="D83" s="10"/>
      <c r="E83" s="10"/>
      <c r="F83" s="10"/>
      <c r="G83" s="10"/>
      <c r="H83" s="10"/>
      <c r="I83" s="81" t="e">
        <f>EV/#REF!</f>
        <v>#REF!</v>
      </c>
      <c r="J83" s="81" t="e">
        <f>EV/#REF!</f>
        <v>#REF!</v>
      </c>
      <c r="K83" s="81"/>
      <c r="L83" s="53"/>
    </row>
    <row r="84" spans="2:19" s="19" customFormat="1" ht="18" customHeight="1" outlineLevel="1" x14ac:dyDescent="0.25">
      <c r="B84" s="10"/>
      <c r="C84" s="10"/>
      <c r="D84" s="10"/>
      <c r="E84" s="10"/>
      <c r="F84" s="10"/>
      <c r="G84" s="10"/>
      <c r="H84" s="10"/>
      <c r="I84" s="82"/>
      <c r="J84" s="82"/>
      <c r="K84" s="82"/>
      <c r="L84" s="53"/>
    </row>
    <row r="85" spans="2:19" s="19" customFormat="1" ht="18" customHeight="1" x14ac:dyDescent="0.25">
      <c r="B85" s="10"/>
      <c r="C85" s="10"/>
      <c r="D85" s="10"/>
      <c r="E85" s="10"/>
      <c r="F85" s="10"/>
      <c r="G85" s="10"/>
      <c r="H85" s="10"/>
      <c r="I85" s="83" t="e">
        <f>EV/H65</f>
        <v>#DIV/0!</v>
      </c>
      <c r="J85" s="83" t="e">
        <f>EV/I65</f>
        <v>#REF!</v>
      </c>
      <c r="K85" s="81"/>
      <c r="L85" s="53"/>
    </row>
    <row r="86" spans="2:19" s="19" customFormat="1" ht="18" customHeight="1" x14ac:dyDescent="0.25">
      <c r="B86" s="10"/>
      <c r="C86" s="10"/>
      <c r="D86" s="10"/>
      <c r="E86" s="10"/>
      <c r="F86" s="10"/>
      <c r="G86" s="10"/>
      <c r="H86" s="10"/>
      <c r="I86" s="84"/>
      <c r="J86" s="84"/>
      <c r="K86" s="84"/>
      <c r="L86" s="53"/>
    </row>
    <row r="87" spans="2:19" s="19" customFormat="1" ht="18" customHeight="1" x14ac:dyDescent="0.25">
      <c r="B87" s="10"/>
      <c r="C87" s="10"/>
      <c r="D87" s="10"/>
      <c r="E87" s="10"/>
      <c r="F87" s="10"/>
      <c r="G87" s="10"/>
      <c r="H87" s="10"/>
      <c r="L87" s="53"/>
    </row>
    <row r="88" spans="2:19" s="19" customFormat="1" ht="18" customHeight="1" x14ac:dyDescent="0.25">
      <c r="B88" s="10"/>
      <c r="C88" s="10"/>
      <c r="D88" s="10"/>
      <c r="E88" s="10"/>
      <c r="F88" s="10"/>
      <c r="G88" s="10"/>
      <c r="H88" s="10"/>
      <c r="L88" s="85"/>
    </row>
    <row r="89" spans="2:19" s="19" customFormat="1" ht="18" customHeight="1" x14ac:dyDescent="0.25">
      <c r="B89" s="10"/>
      <c r="C89" s="10"/>
      <c r="D89" s="10"/>
      <c r="E89" s="10"/>
      <c r="F89" s="10"/>
      <c r="G89" s="10"/>
      <c r="H89" s="10"/>
      <c r="L89" s="53"/>
      <c r="M89" s="110"/>
      <c r="N89" s="106"/>
      <c r="O89" s="106"/>
      <c r="P89" s="106"/>
      <c r="Q89" s="106"/>
      <c r="R89" s="106"/>
      <c r="S89" s="106"/>
    </row>
    <row r="90" spans="2:19" s="19" customFormat="1" ht="18" customHeight="1" x14ac:dyDescent="0.25">
      <c r="B90" s="10"/>
      <c r="C90" s="10"/>
      <c r="D90" s="10"/>
      <c r="E90" s="10"/>
      <c r="F90" s="10"/>
      <c r="G90" s="10"/>
      <c r="H90" s="10"/>
      <c r="L90" s="53"/>
      <c r="O90" s="110"/>
      <c r="P90" s="106"/>
      <c r="Q90" s="106"/>
      <c r="R90" s="106"/>
      <c r="S90" s="106"/>
    </row>
    <row r="91" spans="2:19" s="19" customFormat="1" ht="18" customHeight="1" x14ac:dyDescent="0.25">
      <c r="B91" s="10"/>
      <c r="C91" s="10"/>
      <c r="D91" s="10"/>
      <c r="E91" s="10"/>
      <c r="F91" s="10"/>
      <c r="G91" s="10"/>
      <c r="H91" s="10"/>
      <c r="L91" s="53"/>
      <c r="M91" s="86"/>
      <c r="N91" s="87"/>
      <c r="O91" s="88"/>
      <c r="P91" s="88"/>
      <c r="Q91" s="89"/>
      <c r="R91" s="88"/>
      <c r="S91" s="88"/>
    </row>
    <row r="92" spans="2:19" s="19" customFormat="1" ht="18" customHeight="1" x14ac:dyDescent="0.25">
      <c r="B92" s="10"/>
      <c r="C92" s="10"/>
      <c r="D92" s="10"/>
      <c r="E92" s="10"/>
      <c r="F92" s="10"/>
      <c r="G92" s="10"/>
      <c r="H92" s="10"/>
      <c r="L92" s="53"/>
      <c r="M92" s="90"/>
      <c r="N92" s="88"/>
      <c r="O92" s="91"/>
      <c r="P92" s="91"/>
      <c r="Q92" s="91"/>
      <c r="R92" s="91"/>
      <c r="S92" s="91"/>
    </row>
    <row r="93" spans="2:19" s="19" customFormat="1" ht="18" customHeight="1" x14ac:dyDescent="0.25">
      <c r="B93" s="10"/>
      <c r="C93" s="10"/>
      <c r="D93" s="10"/>
      <c r="E93" s="10"/>
      <c r="F93" s="10"/>
      <c r="G93" s="10"/>
      <c r="H93" s="10"/>
      <c r="L93" s="53"/>
      <c r="M93" s="90"/>
      <c r="N93" s="88"/>
      <c r="O93" s="91"/>
      <c r="P93" s="91"/>
      <c r="Q93" s="91"/>
      <c r="R93" s="91"/>
      <c r="S93" s="91"/>
    </row>
    <row r="94" spans="2:19" s="19" customFormat="1" ht="18" customHeight="1" x14ac:dyDescent="0.25">
      <c r="B94" s="10"/>
      <c r="C94" s="10"/>
      <c r="D94" s="10"/>
      <c r="E94" s="10"/>
      <c r="F94" s="10"/>
      <c r="G94" s="10"/>
      <c r="H94" s="10"/>
      <c r="L94" s="53"/>
      <c r="M94" s="90"/>
      <c r="N94" s="89"/>
      <c r="O94" s="91"/>
      <c r="P94" s="91"/>
      <c r="Q94" s="92"/>
      <c r="R94" s="91"/>
      <c r="S94" s="91"/>
    </row>
    <row r="95" spans="2:19" s="19" customFormat="1" ht="18" customHeight="1" x14ac:dyDescent="0.25">
      <c r="B95" s="10"/>
      <c r="C95" s="10"/>
      <c r="D95" s="10"/>
      <c r="E95" s="10"/>
      <c r="F95" s="10"/>
      <c r="G95" s="10"/>
      <c r="H95" s="10"/>
      <c r="L95" s="53"/>
      <c r="M95" s="90"/>
      <c r="N95" s="88"/>
      <c r="O95" s="91"/>
      <c r="P95" s="91"/>
      <c r="Q95" s="91"/>
      <c r="R95" s="91"/>
      <c r="S95" s="91"/>
    </row>
    <row r="96" spans="2:19" s="19" customFormat="1" ht="18" customHeight="1" x14ac:dyDescent="0.25">
      <c r="B96" s="10"/>
      <c r="C96" s="10"/>
      <c r="D96" s="10"/>
      <c r="E96" s="10"/>
      <c r="F96" s="10"/>
      <c r="G96" s="10"/>
      <c r="H96" s="10"/>
      <c r="L96" s="53"/>
      <c r="M96" s="90"/>
      <c r="N96" s="88"/>
      <c r="O96" s="91"/>
      <c r="P96" s="91"/>
      <c r="Q96" s="91"/>
      <c r="R96" s="91"/>
      <c r="S96" s="91"/>
    </row>
    <row r="97" spans="2:12" ht="14.3" customHeight="1" x14ac:dyDescent="0.25">
      <c r="B97" s="10"/>
      <c r="C97" s="10"/>
      <c r="D97" s="10"/>
      <c r="E97" s="10"/>
      <c r="F97" s="10"/>
      <c r="G97" s="10"/>
      <c r="H97" s="10"/>
      <c r="L97" s="46"/>
    </row>
    <row r="98" spans="2:12" ht="14.3" customHeight="1" x14ac:dyDescent="0.25">
      <c r="B98" s="10"/>
      <c r="C98" s="10"/>
      <c r="D98" s="10"/>
      <c r="E98" s="10"/>
      <c r="F98" s="10"/>
      <c r="G98" s="10"/>
      <c r="H98" s="10"/>
      <c r="L98" s="46"/>
    </row>
    <row r="99" spans="2:12" ht="14.3" customHeight="1" x14ac:dyDescent="0.25">
      <c r="B99" s="10"/>
      <c r="C99" s="10"/>
      <c r="D99" s="10"/>
      <c r="E99" s="10"/>
      <c r="F99" s="10"/>
      <c r="G99" s="10"/>
      <c r="H99" s="10"/>
      <c r="L99" s="46"/>
    </row>
    <row r="100" spans="2:12" ht="14.3" customHeight="1" x14ac:dyDescent="0.25">
      <c r="B100" s="10"/>
      <c r="C100" s="10"/>
      <c r="D100" s="10"/>
      <c r="E100" s="10"/>
      <c r="F100" s="10"/>
      <c r="G100" s="10"/>
      <c r="H100" s="10"/>
      <c r="L100" s="46"/>
    </row>
    <row r="101" spans="2:12" ht="14.3" customHeight="1" x14ac:dyDescent="0.25">
      <c r="B101" s="10"/>
      <c r="C101" s="10"/>
      <c r="D101" s="10"/>
      <c r="E101" s="10"/>
      <c r="F101" s="10"/>
      <c r="G101" s="10"/>
      <c r="H101" s="10"/>
      <c r="L101" s="46"/>
    </row>
    <row r="102" spans="2:12" ht="12.9" customHeight="1" x14ac:dyDescent="0.25">
      <c r="B102" s="10"/>
      <c r="C102" s="10"/>
      <c r="D102" s="10"/>
      <c r="E102" s="10"/>
      <c r="F102" s="10"/>
      <c r="G102" s="10"/>
      <c r="H102" s="10"/>
      <c r="L102" s="46"/>
    </row>
    <row r="103" spans="2:12" ht="14.3" customHeight="1" x14ac:dyDescent="0.25">
      <c r="B103" s="10"/>
      <c r="C103" s="10"/>
      <c r="D103" s="10"/>
      <c r="E103" s="10"/>
      <c r="F103" s="10"/>
      <c r="G103" s="10"/>
      <c r="H103" s="10"/>
      <c r="L103" s="46"/>
    </row>
    <row r="104" spans="2:12" ht="14.3" customHeight="1" x14ac:dyDescent="0.25">
      <c r="B104" s="10"/>
      <c r="C104" s="10"/>
      <c r="D104" s="10"/>
      <c r="E104" s="10"/>
      <c r="F104" s="10"/>
      <c r="G104" s="10"/>
      <c r="H104" s="10"/>
      <c r="L104" s="46"/>
    </row>
    <row r="105" spans="2:12" ht="14.3" customHeight="1" x14ac:dyDescent="0.25">
      <c r="B105" s="10"/>
      <c r="C105" s="10"/>
      <c r="D105" s="10"/>
      <c r="E105" s="10"/>
      <c r="F105" s="10"/>
      <c r="G105" s="10"/>
      <c r="H105" s="10"/>
      <c r="I105" s="46"/>
      <c r="J105" s="46"/>
      <c r="K105" s="46"/>
      <c r="L105" s="46"/>
    </row>
    <row r="106" spans="2:12" ht="14.3" customHeight="1" x14ac:dyDescent="0.25">
      <c r="B106" s="10"/>
      <c r="C106" s="10"/>
      <c r="D106" s="10"/>
      <c r="E106" s="10"/>
      <c r="F106" s="10"/>
      <c r="G106" s="10"/>
      <c r="H106" s="10"/>
      <c r="I106" s="28"/>
      <c r="J106" s="28"/>
      <c r="K106" s="28"/>
      <c r="L106" s="93"/>
    </row>
    <row r="107" spans="2:12" ht="14.3" customHeight="1" x14ac:dyDescent="0.25">
      <c r="B107" s="10"/>
      <c r="C107" s="10"/>
      <c r="D107" s="10"/>
      <c r="E107" s="10"/>
      <c r="F107" s="10"/>
      <c r="G107" s="10"/>
      <c r="H107" s="10"/>
      <c r="I107" s="7"/>
      <c r="J107" s="7"/>
      <c r="K107" s="7"/>
      <c r="L107" s="94"/>
    </row>
    <row r="108" spans="2:12" ht="14.3" customHeight="1" x14ac:dyDescent="0.25">
      <c r="B108" s="10"/>
      <c r="C108" s="10"/>
      <c r="D108" s="10"/>
      <c r="E108" s="10"/>
      <c r="F108" s="10"/>
      <c r="G108" s="10"/>
      <c r="H108" s="10"/>
      <c r="I108" s="7"/>
      <c r="J108" s="7"/>
      <c r="K108" s="7"/>
      <c r="L108" s="94"/>
    </row>
    <row r="109" spans="2:12" ht="14.3" customHeight="1" x14ac:dyDescent="0.25">
      <c r="B109" s="10"/>
      <c r="C109" s="10"/>
      <c r="D109" s="10"/>
      <c r="E109" s="10"/>
      <c r="F109" s="10"/>
      <c r="G109" s="10"/>
      <c r="H109" s="10"/>
    </row>
    <row r="110" spans="2:12" ht="14.3" customHeight="1" x14ac:dyDescent="0.25">
      <c r="B110" s="10"/>
      <c r="C110" s="10"/>
      <c r="D110" s="10"/>
      <c r="E110" s="10"/>
      <c r="F110" s="10"/>
      <c r="G110" s="10"/>
      <c r="H110" s="10"/>
    </row>
    <row r="111" spans="2:12" ht="14.3" customHeight="1" x14ac:dyDescent="0.25">
      <c r="B111" s="10"/>
      <c r="C111" s="10"/>
      <c r="D111" s="10"/>
      <c r="E111" s="10"/>
      <c r="F111" s="10"/>
      <c r="G111" s="10"/>
      <c r="H111" s="10"/>
    </row>
    <row r="112" spans="2:12" ht="14.3" customHeight="1" x14ac:dyDescent="0.25">
      <c r="B112" s="10"/>
      <c r="C112" s="10"/>
      <c r="D112" s="10"/>
      <c r="E112" s="10"/>
      <c r="F112" s="10"/>
      <c r="G112" s="10"/>
      <c r="H112" s="10"/>
    </row>
    <row r="113" spans="2:19" ht="14.3" customHeight="1" x14ac:dyDescent="0.25">
      <c r="B113" s="10"/>
      <c r="C113" s="10"/>
      <c r="D113" s="10"/>
      <c r="E113" s="10"/>
      <c r="F113" s="10"/>
      <c r="G113" s="10"/>
      <c r="H113" s="10"/>
    </row>
    <row r="114" spans="2:19" ht="14.3" customHeight="1" x14ac:dyDescent="0.25">
      <c r="B114" s="10"/>
      <c r="C114" s="10"/>
      <c r="D114" s="10"/>
      <c r="E114" s="10"/>
      <c r="F114" s="10"/>
      <c r="G114" s="10"/>
      <c r="H114" s="10"/>
    </row>
    <row r="115" spans="2:19" s="95" customFormat="1" ht="14.3" customHeight="1" x14ac:dyDescent="0.25">
      <c r="B115" s="10"/>
      <c r="C115" s="10"/>
      <c r="D115" s="10"/>
      <c r="E115" s="10"/>
      <c r="F115" s="10"/>
      <c r="G115" s="10"/>
      <c r="H115" s="10"/>
      <c r="I115" s="14"/>
      <c r="J115" s="14"/>
      <c r="K115" s="14"/>
      <c r="L115" s="51"/>
      <c r="M115" s="14"/>
      <c r="N115" s="14"/>
      <c r="O115" s="14"/>
      <c r="P115" s="14"/>
      <c r="Q115" s="14"/>
      <c r="R115" s="14"/>
      <c r="S115" s="14"/>
    </row>
    <row r="116" spans="2:19" s="95" customFormat="1" ht="14.3" customHeight="1" x14ac:dyDescent="0.25">
      <c r="B116" s="10"/>
      <c r="C116" s="10"/>
      <c r="D116" s="10"/>
      <c r="E116" s="10"/>
      <c r="F116" s="10"/>
      <c r="G116" s="10"/>
      <c r="H116" s="10"/>
      <c r="I116" s="14"/>
      <c r="J116" s="14"/>
      <c r="K116" s="14"/>
      <c r="L116" s="51"/>
    </row>
    <row r="117" spans="2:19" ht="14.3" customHeight="1" x14ac:dyDescent="0.25">
      <c r="B117" s="10"/>
      <c r="C117" s="10"/>
      <c r="D117" s="10"/>
      <c r="E117" s="10"/>
      <c r="F117" s="10"/>
      <c r="G117" s="10"/>
      <c r="H117" s="10"/>
      <c r="M117" s="95"/>
      <c r="N117" s="95"/>
      <c r="O117" s="95"/>
      <c r="P117" s="95"/>
      <c r="Q117" s="95"/>
      <c r="R117" s="95"/>
      <c r="S117" s="95"/>
    </row>
    <row r="118" spans="2:19" ht="14.3" customHeight="1" x14ac:dyDescent="0.25">
      <c r="B118" s="10"/>
      <c r="C118" s="10"/>
      <c r="D118" s="10"/>
      <c r="E118" s="10"/>
      <c r="F118" s="10"/>
      <c r="G118" s="10"/>
      <c r="H118" s="10"/>
    </row>
    <row r="119" spans="2:19" ht="14.3" customHeight="1" x14ac:dyDescent="0.25">
      <c r="B119" s="10"/>
      <c r="C119" s="10"/>
      <c r="D119" s="10"/>
      <c r="E119" s="10"/>
      <c r="F119" s="10"/>
      <c r="G119" s="10"/>
      <c r="H119" s="10"/>
    </row>
    <row r="120" spans="2:19" ht="14.3" customHeight="1" x14ac:dyDescent="0.25">
      <c r="B120" s="10"/>
      <c r="C120" s="10"/>
      <c r="D120" s="10"/>
      <c r="E120" s="10"/>
      <c r="F120" s="10"/>
      <c r="G120" s="10"/>
      <c r="H120" s="10"/>
      <c r="L120" s="96"/>
    </row>
    <row r="121" spans="2:19" ht="14.3" customHeight="1" x14ac:dyDescent="0.25">
      <c r="B121" s="10"/>
      <c r="C121" s="10"/>
      <c r="D121" s="10"/>
      <c r="E121" s="10"/>
      <c r="F121" s="10"/>
      <c r="G121" s="10"/>
      <c r="H121" s="10"/>
      <c r="I121" s="97"/>
      <c r="J121" s="97"/>
      <c r="K121" s="97"/>
      <c r="L121" s="97"/>
    </row>
    <row r="122" spans="2:19" ht="14.3" customHeight="1" x14ac:dyDescent="0.25">
      <c r="B122" s="10"/>
      <c r="C122" s="10"/>
      <c r="D122" s="10"/>
      <c r="E122" s="10"/>
      <c r="F122" s="10"/>
      <c r="G122" s="10"/>
      <c r="H122" s="10"/>
      <c r="L122" s="98"/>
    </row>
    <row r="123" spans="2:19" ht="14.3" customHeight="1" x14ac:dyDescent="0.25">
      <c r="B123" s="111"/>
      <c r="C123" s="10"/>
      <c r="D123" s="10"/>
      <c r="E123" s="10"/>
      <c r="F123" s="10"/>
      <c r="G123" s="10"/>
      <c r="H123" s="10"/>
      <c r="L123" s="99"/>
    </row>
    <row r="124" spans="2:19" ht="14.3" customHeight="1" x14ac:dyDescent="0.25">
      <c r="B124" s="112"/>
      <c r="C124" s="10"/>
      <c r="D124" s="10"/>
      <c r="E124" s="10"/>
      <c r="F124" s="10"/>
      <c r="G124" s="10"/>
      <c r="H124" s="10"/>
      <c r="L124" s="98"/>
    </row>
    <row r="125" spans="2:19" ht="14.3" customHeight="1" x14ac:dyDescent="0.25">
      <c r="B125" s="10"/>
      <c r="C125" s="10"/>
      <c r="D125" s="10"/>
      <c r="E125" s="10"/>
      <c r="F125" s="10"/>
      <c r="G125" s="10"/>
      <c r="H125" s="10"/>
      <c r="L125" s="96"/>
    </row>
    <row r="126" spans="2:19" ht="14.3" customHeight="1" x14ac:dyDescent="0.25">
      <c r="B126" s="10"/>
      <c r="C126" s="10"/>
      <c r="D126" s="10"/>
      <c r="E126" s="10"/>
      <c r="F126" s="10"/>
      <c r="G126" s="10"/>
      <c r="H126" s="10"/>
      <c r="L126" s="96"/>
    </row>
    <row r="127" spans="2:19" ht="14.3" customHeight="1" x14ac:dyDescent="0.25">
      <c r="B127" s="10"/>
      <c r="C127" s="10"/>
      <c r="D127" s="10"/>
      <c r="E127" s="10"/>
      <c r="F127" s="10"/>
      <c r="G127" s="10"/>
      <c r="H127" s="10"/>
      <c r="L127" s="100"/>
    </row>
    <row r="128" spans="2:19" s="95" customFormat="1" ht="14.3" customHeight="1" x14ac:dyDescent="0.25">
      <c r="B128" s="10"/>
      <c r="C128" s="10"/>
      <c r="D128" s="10"/>
      <c r="E128" s="10"/>
      <c r="F128" s="10"/>
      <c r="G128" s="10"/>
      <c r="H128" s="10"/>
      <c r="I128" s="14"/>
      <c r="J128" s="14"/>
      <c r="K128" s="14"/>
      <c r="L128" s="96"/>
      <c r="M128" s="14"/>
      <c r="N128" s="14"/>
      <c r="O128" s="14"/>
      <c r="P128" s="14"/>
      <c r="Q128" s="14"/>
      <c r="R128" s="14"/>
      <c r="S128" s="14"/>
    </row>
    <row r="129" spans="2:19" ht="14.3" customHeight="1" x14ac:dyDescent="0.25">
      <c r="B129" s="10"/>
      <c r="C129" s="10"/>
      <c r="D129" s="10"/>
      <c r="E129" s="10"/>
      <c r="F129" s="10"/>
      <c r="G129" s="10"/>
      <c r="H129" s="10"/>
      <c r="L129" s="96"/>
      <c r="M129" s="95"/>
      <c r="N129" s="95"/>
      <c r="O129" s="95"/>
      <c r="P129" s="95"/>
      <c r="Q129" s="95"/>
      <c r="R129" s="95"/>
      <c r="S129" s="95"/>
    </row>
    <row r="130" spans="2:19" ht="14.3" customHeight="1" x14ac:dyDescent="0.25">
      <c r="B130" s="10"/>
      <c r="C130" s="10"/>
      <c r="D130" s="10"/>
      <c r="E130" s="10"/>
      <c r="F130" s="10"/>
      <c r="G130" s="10"/>
      <c r="H130" s="10"/>
      <c r="L130" s="96"/>
    </row>
    <row r="131" spans="2:19" ht="14.3" customHeight="1" x14ac:dyDescent="0.25">
      <c r="B131" s="10"/>
      <c r="C131" s="10"/>
      <c r="D131" s="10"/>
      <c r="E131" s="10"/>
      <c r="F131" s="10"/>
      <c r="G131" s="10"/>
      <c r="H131" s="10"/>
    </row>
    <row r="132" spans="2:19" ht="14.3" customHeight="1" x14ac:dyDescent="0.25">
      <c r="B132" s="10"/>
      <c r="C132" s="10"/>
      <c r="D132" s="10"/>
      <c r="E132" s="10"/>
      <c r="F132" s="10"/>
      <c r="G132" s="10"/>
      <c r="H132" s="10"/>
      <c r="L132" s="101"/>
    </row>
    <row r="133" spans="2:19" ht="14.3" customHeight="1" x14ac:dyDescent="0.25">
      <c r="B133" s="10"/>
      <c r="C133" s="10"/>
      <c r="D133" s="10"/>
      <c r="E133" s="10"/>
      <c r="F133" s="10"/>
      <c r="G133" s="10"/>
      <c r="H133" s="10"/>
      <c r="L133" s="98"/>
    </row>
    <row r="134" spans="2:19" ht="14.3" customHeight="1" x14ac:dyDescent="0.25">
      <c r="B134" s="111"/>
      <c r="C134" s="10"/>
      <c r="D134" s="10"/>
      <c r="E134" s="10"/>
      <c r="F134" s="10"/>
      <c r="G134" s="10"/>
      <c r="H134" s="10"/>
      <c r="L134" s="99"/>
    </row>
    <row r="135" spans="2:19" ht="14.3" customHeight="1" x14ac:dyDescent="0.25">
      <c r="B135" s="112"/>
      <c r="C135" s="10"/>
      <c r="D135" s="10"/>
      <c r="E135" s="10"/>
      <c r="F135" s="10"/>
      <c r="G135" s="10"/>
      <c r="H135" s="10"/>
      <c r="L135" s="98"/>
    </row>
    <row r="136" spans="2:19" ht="14.3" customHeight="1" x14ac:dyDescent="0.25">
      <c r="B136" s="10"/>
      <c r="C136" s="10"/>
      <c r="D136" s="10"/>
      <c r="E136" s="10"/>
      <c r="F136" s="10"/>
      <c r="G136" s="10"/>
      <c r="H136" s="10"/>
      <c r="L136" s="96"/>
    </row>
    <row r="137" spans="2:19" ht="14.3" customHeight="1" x14ac:dyDescent="0.25">
      <c r="B137" s="10"/>
      <c r="C137" s="10"/>
      <c r="D137" s="10"/>
      <c r="E137" s="10"/>
      <c r="F137" s="10"/>
      <c r="G137" s="10"/>
      <c r="H137" s="10"/>
    </row>
    <row r="138" spans="2:19" ht="14.3" customHeight="1" x14ac:dyDescent="0.25">
      <c r="B138" s="10"/>
      <c r="C138" s="10"/>
      <c r="D138" s="10"/>
      <c r="E138" s="10"/>
      <c r="F138" s="10"/>
      <c r="G138" s="10"/>
      <c r="H138" s="10"/>
      <c r="L138" s="96"/>
    </row>
    <row r="139" spans="2:19" ht="14.3" customHeight="1" x14ac:dyDescent="0.25">
      <c r="B139" s="10"/>
      <c r="C139" s="10"/>
      <c r="D139" s="10"/>
      <c r="E139" s="10"/>
      <c r="F139" s="10"/>
      <c r="G139" s="10"/>
      <c r="H139" s="10"/>
      <c r="L139" s="96"/>
    </row>
    <row r="140" spans="2:19" ht="14.3" customHeight="1" x14ac:dyDescent="0.25">
      <c r="B140" s="10"/>
      <c r="C140" s="10"/>
      <c r="D140" s="10"/>
      <c r="E140" s="10"/>
      <c r="F140" s="10"/>
      <c r="G140" s="10"/>
      <c r="H140" s="10"/>
      <c r="L140" s="96"/>
    </row>
    <row r="141" spans="2:19" ht="14.3" customHeight="1" x14ac:dyDescent="0.25">
      <c r="B141" s="10"/>
      <c r="C141" s="10"/>
      <c r="D141" s="10"/>
      <c r="E141" s="10"/>
      <c r="F141" s="10"/>
      <c r="G141" s="10"/>
      <c r="H141" s="10"/>
      <c r="L141" s="96"/>
    </row>
    <row r="142" spans="2:19" ht="14.3" customHeight="1" x14ac:dyDescent="0.25">
      <c r="B142" s="10"/>
      <c r="C142" s="10"/>
      <c r="D142" s="10"/>
      <c r="E142" s="10"/>
      <c r="F142" s="10"/>
      <c r="G142" s="10"/>
      <c r="H142" s="10"/>
      <c r="L142" s="96"/>
    </row>
    <row r="143" spans="2:19" ht="14.3" customHeight="1" x14ac:dyDescent="0.25">
      <c r="B143" s="10"/>
      <c r="C143" s="10"/>
      <c r="D143" s="10"/>
      <c r="E143" s="10"/>
      <c r="F143" s="10"/>
      <c r="G143" s="10"/>
      <c r="H143" s="10"/>
      <c r="L143" s="96"/>
    </row>
    <row r="144" spans="2:19" ht="14.3" customHeight="1" x14ac:dyDescent="0.25">
      <c r="B144" s="10"/>
      <c r="C144" s="10"/>
      <c r="D144" s="10"/>
      <c r="E144" s="10"/>
      <c r="F144" s="10"/>
      <c r="G144" s="10"/>
      <c r="H144" s="10"/>
      <c r="L144" s="96"/>
    </row>
    <row r="145" spans="2:12" ht="14.3" customHeight="1" x14ac:dyDescent="0.25">
      <c r="B145" s="10"/>
      <c r="C145" s="10"/>
      <c r="D145" s="10"/>
      <c r="E145" s="10"/>
      <c r="F145" s="10"/>
      <c r="G145" s="10"/>
      <c r="H145" s="10"/>
      <c r="L145" s="99"/>
    </row>
    <row r="146" spans="2:12" ht="14.3" customHeight="1" x14ac:dyDescent="0.25">
      <c r="B146" s="10"/>
      <c r="C146" s="10"/>
      <c r="D146" s="10"/>
      <c r="E146" s="10"/>
      <c r="F146" s="10"/>
      <c r="G146" s="10"/>
      <c r="H146" s="10"/>
      <c r="L146" s="101"/>
    </row>
    <row r="147" spans="2:12" ht="14.3" customHeight="1" x14ac:dyDescent="0.25">
      <c r="B147" s="10"/>
      <c r="C147" s="10"/>
      <c r="D147" s="10"/>
      <c r="E147" s="10"/>
      <c r="F147" s="10"/>
      <c r="G147" s="10"/>
      <c r="H147" s="10"/>
      <c r="L147" s="98"/>
    </row>
    <row r="148" spans="2:12" ht="14.3" customHeight="1" x14ac:dyDescent="0.25">
      <c r="B148" s="111"/>
      <c r="C148" s="10"/>
      <c r="D148" s="10"/>
      <c r="E148" s="10"/>
      <c r="F148" s="10"/>
      <c r="G148" s="10"/>
      <c r="H148" s="10"/>
      <c r="L148" s="99"/>
    </row>
    <row r="149" spans="2:12" ht="14.3" customHeight="1" x14ac:dyDescent="0.25">
      <c r="B149" s="112"/>
      <c r="C149" s="10"/>
      <c r="D149" s="10"/>
      <c r="E149" s="10"/>
      <c r="F149" s="10"/>
      <c r="G149" s="10"/>
      <c r="H149" s="10"/>
      <c r="L149" s="98"/>
    </row>
    <row r="150" spans="2:12" ht="14.3" customHeight="1" x14ac:dyDescent="0.25">
      <c r="B150" s="10"/>
      <c r="C150" s="10"/>
      <c r="D150" s="10"/>
      <c r="E150" s="10"/>
      <c r="F150" s="10"/>
      <c r="G150" s="10"/>
      <c r="H150" s="10"/>
      <c r="L150" s="99"/>
    </row>
    <row r="151" spans="2:12" ht="14.3" customHeight="1" x14ac:dyDescent="0.25">
      <c r="B151" s="10"/>
      <c r="C151" s="10"/>
      <c r="D151" s="10"/>
      <c r="E151" s="10"/>
      <c r="F151" s="10"/>
      <c r="G151" s="10"/>
      <c r="H151" s="10"/>
      <c r="L151" s="99"/>
    </row>
    <row r="152" spans="2:12" ht="14.3" customHeight="1" x14ac:dyDescent="0.25">
      <c r="B152" s="10"/>
      <c r="C152" s="10"/>
      <c r="D152" s="10"/>
      <c r="E152" s="10"/>
      <c r="F152" s="10"/>
      <c r="G152" s="10"/>
      <c r="H152" s="10"/>
      <c r="L152" s="99"/>
    </row>
    <row r="153" spans="2:12" ht="14.3" customHeight="1" x14ac:dyDescent="0.25">
      <c r="B153" s="10"/>
      <c r="C153" s="10"/>
      <c r="D153" s="10"/>
      <c r="E153" s="10"/>
      <c r="F153" s="10"/>
      <c r="G153" s="10"/>
      <c r="H153" s="10"/>
      <c r="L153" s="99"/>
    </row>
    <row r="154" spans="2:12" ht="14.3" customHeight="1" x14ac:dyDescent="0.25">
      <c r="B154" s="10"/>
      <c r="C154" s="10"/>
      <c r="D154" s="10"/>
      <c r="E154" s="10"/>
      <c r="F154" s="10"/>
      <c r="G154" s="10"/>
      <c r="H154" s="10"/>
      <c r="L154" s="99"/>
    </row>
    <row r="155" spans="2:12" ht="14.3" customHeight="1" x14ac:dyDescent="0.25">
      <c r="B155" s="10"/>
      <c r="C155" s="10"/>
      <c r="D155" s="10"/>
      <c r="E155" s="10"/>
      <c r="F155" s="10"/>
      <c r="G155" s="10"/>
      <c r="H155" s="10"/>
      <c r="L155" s="99"/>
    </row>
    <row r="156" spans="2:12" ht="14.3" customHeight="1" x14ac:dyDescent="0.25">
      <c r="B156" s="10"/>
      <c r="C156" s="10"/>
      <c r="D156" s="10"/>
      <c r="E156" s="10"/>
      <c r="F156" s="10"/>
      <c r="G156" s="10"/>
      <c r="H156" s="10"/>
      <c r="L156" s="99"/>
    </row>
    <row r="157" spans="2:12" ht="14.3" customHeight="1" x14ac:dyDescent="0.25">
      <c r="B157" s="10"/>
      <c r="C157" s="10"/>
      <c r="D157" s="10"/>
      <c r="E157" s="10"/>
      <c r="F157" s="10"/>
      <c r="G157" s="10"/>
      <c r="H157" s="10"/>
      <c r="L157" s="99"/>
    </row>
    <row r="158" spans="2:12" ht="14.3" customHeight="1" x14ac:dyDescent="0.25">
      <c r="B158" s="10"/>
      <c r="C158" s="10"/>
      <c r="D158" s="10"/>
      <c r="E158" s="10"/>
      <c r="F158" s="10"/>
      <c r="G158" s="10"/>
      <c r="H158" s="10"/>
      <c r="L158" s="99"/>
    </row>
    <row r="159" spans="2:12" ht="14.3" customHeight="1" x14ac:dyDescent="0.25">
      <c r="B159" s="10"/>
      <c r="C159" s="10"/>
      <c r="D159" s="10"/>
      <c r="E159" s="10"/>
      <c r="F159" s="10"/>
      <c r="G159" s="10"/>
      <c r="H159" s="10"/>
      <c r="L159" s="99"/>
    </row>
    <row r="160" spans="2:12" x14ac:dyDescent="0.25">
      <c r="B160" s="102"/>
      <c r="C160" s="99"/>
      <c r="D160" s="99"/>
      <c r="E160" s="99"/>
      <c r="L160" s="99"/>
    </row>
    <row r="161" spans="2:12" x14ac:dyDescent="0.25">
      <c r="B161" s="102"/>
      <c r="C161" s="99"/>
      <c r="D161" s="99"/>
      <c r="E161" s="99"/>
      <c r="L161" s="99"/>
    </row>
    <row r="162" spans="2:12" x14ac:dyDescent="0.25">
      <c r="B162" s="102"/>
      <c r="C162" s="99"/>
      <c r="D162" s="99"/>
      <c r="E162" s="99"/>
      <c r="L162" s="99"/>
    </row>
    <row r="163" spans="2:12" x14ac:dyDescent="0.25">
      <c r="B163" s="102"/>
      <c r="C163" s="99"/>
      <c r="D163" s="99"/>
      <c r="E163" s="99"/>
      <c r="L163" s="99"/>
    </row>
    <row r="164" spans="2:12" x14ac:dyDescent="0.25">
      <c r="B164" s="102"/>
      <c r="C164" s="99"/>
      <c r="D164" s="99"/>
      <c r="E164" s="99"/>
      <c r="L164" s="99"/>
    </row>
    <row r="165" spans="2:12" x14ac:dyDescent="0.25">
      <c r="B165" s="102"/>
      <c r="C165" s="99"/>
      <c r="D165" s="99"/>
      <c r="E165" s="99"/>
      <c r="L165" s="99"/>
    </row>
  </sheetData>
  <autoFilter ref="B7" xr:uid="{00000000-0001-0000-0100-000000000000}"/>
  <mergeCells count="11">
    <mergeCell ref="M89:S89"/>
    <mergeCell ref="O90:S90"/>
    <mergeCell ref="B123:B124"/>
    <mergeCell ref="B134:B135"/>
    <mergeCell ref="B148:B149"/>
    <mergeCell ref="B2:C3"/>
    <mergeCell ref="O67:S67"/>
    <mergeCell ref="C9:E9"/>
    <mergeCell ref="G9:J9"/>
    <mergeCell ref="L9:O9"/>
    <mergeCell ref="B33:C33"/>
  </mergeCells>
  <pageMargins left="0.3" right="0.3" top="0.3" bottom="0.3" header="0" footer="0"/>
  <pageSetup paperSize="9" scale="88" fitToHeight="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6F4D-3B27-4251-9FC9-DD7CFA03D6DB}">
  <sheetPr>
    <tabColor theme="3" tint="0.39997558519241921"/>
    <pageSetUpPr fitToPage="1"/>
  </sheetPr>
  <dimension ref="A1:EP165"/>
  <sheetViews>
    <sheetView showGridLines="0" tabSelected="1" topLeftCell="A15" zoomScale="130" zoomScaleNormal="130" workbookViewId="0">
      <selection activeCell="D35" sqref="D35"/>
    </sheetView>
  </sheetViews>
  <sheetFormatPr defaultColWidth="13.5" defaultRowHeight="11.55" outlineLevelRow="1" x14ac:dyDescent="0.25"/>
  <cols>
    <col min="1" max="1" width="3.375" style="14" customWidth="1"/>
    <col min="2" max="2" width="36.75" style="14" customWidth="1"/>
    <col min="3" max="5" width="25.625" style="14" customWidth="1"/>
    <col min="6" max="6" width="4" style="14" customWidth="1"/>
    <col min="7" max="10" width="25.625" style="14" customWidth="1"/>
    <col min="11" max="11" width="4.625" style="14" customWidth="1"/>
    <col min="12" max="12" width="25.625" style="51" customWidth="1"/>
    <col min="13" max="15" width="25.625" style="14" customWidth="1"/>
    <col min="16" max="16" width="11.875" style="14" customWidth="1"/>
    <col min="17" max="17" width="10.5" style="14" customWidth="1"/>
    <col min="18" max="18" width="11.625" style="14" customWidth="1"/>
    <col min="19" max="19" width="8.875" style="14" customWidth="1"/>
    <col min="20" max="20" width="3.125" style="14" customWidth="1"/>
    <col min="21" max="23" width="13.5" style="14" customWidth="1"/>
    <col min="24" max="24" width="10" style="14" customWidth="1"/>
    <col min="25" max="27" width="13.5" style="14" customWidth="1"/>
    <col min="28" max="16384" width="13.5" style="14"/>
  </cols>
  <sheetData>
    <row r="1" spans="2:146" s="4" customFormat="1" ht="45" customHeight="1" x14ac:dyDescent="0.25">
      <c r="B1" s="1" t="s">
        <v>0</v>
      </c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</row>
    <row r="2" spans="2:146" s="7" customFormat="1" ht="25.15" customHeight="1" x14ac:dyDescent="0.25">
      <c r="B2" s="103" t="s">
        <v>41</v>
      </c>
      <c r="C2" s="103"/>
      <c r="D2" s="5"/>
      <c r="E2" s="6"/>
      <c r="F2" s="6"/>
      <c r="G2" s="6"/>
      <c r="H2" s="6"/>
    </row>
    <row r="3" spans="2:146" s="7" customFormat="1" ht="16.3" customHeight="1" x14ac:dyDescent="0.25">
      <c r="B3" s="104"/>
      <c r="C3" s="104"/>
      <c r="D3" s="6"/>
      <c r="E3" s="6" t="s">
        <v>1</v>
      </c>
      <c r="F3" s="6"/>
      <c r="G3" s="6"/>
      <c r="H3" s="6"/>
    </row>
    <row r="4" spans="2:146" s="7" customFormat="1" ht="27.2" customHeight="1" x14ac:dyDescent="0.25">
      <c r="B4" s="8" t="s">
        <v>2</v>
      </c>
      <c r="C4" s="9" t="s">
        <v>38</v>
      </c>
      <c r="D4" s="10"/>
      <c r="E4" s="10"/>
      <c r="F4" s="6"/>
      <c r="G4" s="6"/>
      <c r="H4" s="6"/>
    </row>
    <row r="5" spans="2:146" s="12" customFormat="1" ht="25.15" customHeight="1" x14ac:dyDescent="0.25">
      <c r="B5" s="8" t="s">
        <v>3</v>
      </c>
      <c r="C5" s="11">
        <v>45565</v>
      </c>
      <c r="D5" s="10"/>
      <c r="E5" s="10"/>
    </row>
    <row r="6" spans="2:146" s="12" customFormat="1" ht="11.55" customHeight="1" x14ac:dyDescent="0.25">
      <c r="B6" s="10"/>
      <c r="C6" s="10"/>
    </row>
    <row r="7" spans="2:146" ht="21.75" customHeight="1" x14ac:dyDescent="0.25">
      <c r="B7" s="13" t="s">
        <v>4</v>
      </c>
      <c r="C7" s="6"/>
      <c r="D7" s="6"/>
      <c r="E7" s="6"/>
      <c r="F7" s="6"/>
      <c r="G7" s="6"/>
      <c r="H7" s="6"/>
      <c r="I7" s="7"/>
      <c r="J7" s="7"/>
      <c r="K7" s="7"/>
      <c r="L7" s="7"/>
      <c r="M7" s="7"/>
      <c r="N7" s="7"/>
      <c r="O7" s="7"/>
    </row>
    <row r="8" spans="2:146" s="7" customFormat="1" ht="25.15" customHeight="1" x14ac:dyDescent="0.25">
      <c r="B8" s="15"/>
      <c r="C8" s="6"/>
      <c r="D8" s="6"/>
      <c r="E8" s="6"/>
      <c r="F8" s="6"/>
      <c r="G8" s="6"/>
      <c r="H8" s="6"/>
      <c r="P8" s="16"/>
      <c r="Q8" s="16"/>
      <c r="R8" s="16"/>
    </row>
    <row r="9" spans="2:146" s="19" customFormat="1" ht="18" customHeight="1" x14ac:dyDescent="0.25">
      <c r="B9" s="17"/>
      <c r="C9" s="107" t="s">
        <v>5</v>
      </c>
      <c r="D9" s="107"/>
      <c r="E9" s="107"/>
      <c r="F9" s="6"/>
      <c r="G9" s="107" t="s">
        <v>6</v>
      </c>
      <c r="H9" s="107"/>
      <c r="I9" s="107"/>
      <c r="J9" s="107"/>
      <c r="K9" s="18"/>
      <c r="L9" s="108" t="s">
        <v>7</v>
      </c>
      <c r="M9" s="108"/>
      <c r="N9" s="108"/>
      <c r="O9" s="108"/>
      <c r="P9" s="14"/>
      <c r="Q9" s="14"/>
      <c r="R9" s="14"/>
    </row>
    <row r="10" spans="2:146" s="19" customFormat="1" ht="18" customHeight="1" x14ac:dyDescent="0.25">
      <c r="B10" s="20" t="s">
        <v>8</v>
      </c>
      <c r="C10" s="21" t="s">
        <v>9</v>
      </c>
      <c r="D10" s="21" t="s">
        <v>10</v>
      </c>
      <c r="E10" s="21" t="s">
        <v>11</v>
      </c>
      <c r="F10" s="21"/>
      <c r="G10" s="22" t="s">
        <v>12</v>
      </c>
      <c r="H10" s="23" t="s">
        <v>13</v>
      </c>
      <c r="I10" s="23" t="s">
        <v>14</v>
      </c>
      <c r="J10" s="23" t="s">
        <v>15</v>
      </c>
      <c r="K10" s="23"/>
      <c r="L10" s="24" t="s">
        <v>16</v>
      </c>
      <c r="M10" s="24" t="s">
        <v>17</v>
      </c>
      <c r="N10" s="24" t="s">
        <v>18</v>
      </c>
      <c r="O10" s="24" t="s">
        <v>19</v>
      </c>
      <c r="Q10" s="7"/>
      <c r="R10" s="7"/>
    </row>
    <row r="11" spans="2:146" s="19" customFormat="1" ht="18" customHeight="1" x14ac:dyDescent="0.25">
      <c r="B11" s="25" t="s">
        <v>21</v>
      </c>
      <c r="C11" s="26">
        <v>359.85</v>
      </c>
      <c r="D11" s="26">
        <v>2675117703000</v>
      </c>
      <c r="E11" s="27">
        <v>2723929703000</v>
      </c>
      <c r="F11" s="27"/>
      <c r="G11" s="26">
        <v>245122000000</v>
      </c>
      <c r="H11" s="27">
        <v>133009000000</v>
      </c>
      <c r="I11" s="27">
        <v>109433000000</v>
      </c>
      <c r="J11" s="27">
        <v>88136000000</v>
      </c>
      <c r="K11" s="27"/>
      <c r="L11" s="27">
        <f>E11/G11</f>
        <v>11.112546825662323</v>
      </c>
      <c r="M11" s="27">
        <f>E11/H11</f>
        <v>20.479288642121961</v>
      </c>
      <c r="N11" s="27">
        <f>E11/I11</f>
        <v>24.891300640574599</v>
      </c>
      <c r="O11" s="27">
        <f>D11/J11</f>
        <v>30.352156927929563</v>
      </c>
      <c r="Q11" s="7"/>
      <c r="R11" s="7"/>
    </row>
    <row r="12" spans="2:146" s="19" customFormat="1" ht="18" customHeight="1" x14ac:dyDescent="0.25">
      <c r="B12" s="25" t="s">
        <v>37</v>
      </c>
      <c r="C12" s="26">
        <v>145.375</v>
      </c>
      <c r="D12" s="26">
        <v>1785680562185</v>
      </c>
      <c r="E12" s="27">
        <v>1787675562185</v>
      </c>
      <c r="F12" s="27"/>
      <c r="G12" s="26">
        <v>350018000000</v>
      </c>
      <c r="H12" s="27">
        <v>112390000000</v>
      </c>
      <c r="I12" s="27">
        <v>112390000000</v>
      </c>
      <c r="J12" s="27">
        <v>100118000000</v>
      </c>
      <c r="K12" s="27"/>
      <c r="L12" s="27">
        <f t="shared" ref="L12:L15" si="0">E12/G12</f>
        <v>5.1073817980361014</v>
      </c>
      <c r="M12" s="27">
        <f t="shared" ref="M12:M15" si="1">E12/H12</f>
        <v>15.906001976910757</v>
      </c>
      <c r="N12" s="27">
        <f t="shared" ref="N12:N15" si="2">E12/I12</f>
        <v>15.906001976910757</v>
      </c>
      <c r="O12" s="27">
        <f t="shared" ref="O12:O15" si="3">D12/J12</f>
        <v>17.835759425727641</v>
      </c>
      <c r="Q12" s="7"/>
      <c r="R12" s="7"/>
    </row>
    <row r="13" spans="2:146" s="19" customFormat="1" ht="18" customHeight="1" x14ac:dyDescent="0.25">
      <c r="B13" s="25" t="s">
        <v>22</v>
      </c>
      <c r="C13" s="26">
        <v>172.35</v>
      </c>
      <c r="D13" s="26">
        <v>1826513595000</v>
      </c>
      <c r="E13" s="27">
        <v>1883345595000</v>
      </c>
      <c r="F13" s="27"/>
      <c r="G13" s="26">
        <v>637959000000</v>
      </c>
      <c r="H13" s="27">
        <v>123815000000</v>
      </c>
      <c r="I13" s="27">
        <v>68593000000</v>
      </c>
      <c r="J13" s="27">
        <v>59248000000</v>
      </c>
      <c r="K13" s="27"/>
      <c r="L13" s="27">
        <f t="shared" si="0"/>
        <v>2.9521420577184427</v>
      </c>
      <c r="M13" s="27">
        <f t="shared" si="1"/>
        <v>15.21096470540726</v>
      </c>
      <c r="N13" s="27">
        <f t="shared" si="2"/>
        <v>27.456819136063448</v>
      </c>
      <c r="O13" s="27">
        <f t="shared" si="3"/>
        <v>30.828274287739671</v>
      </c>
      <c r="Q13" s="28"/>
      <c r="R13" s="28"/>
    </row>
    <row r="14" spans="2:146" s="19" customFormat="1" ht="18" customHeight="1" x14ac:dyDescent="0.25">
      <c r="B14" s="25" t="s">
        <v>39</v>
      </c>
      <c r="C14" s="26">
        <v>230.62</v>
      </c>
      <c r="D14" s="26">
        <v>741793842400</v>
      </c>
      <c r="E14" s="27">
        <v>739277842400</v>
      </c>
      <c r="F14" s="27"/>
      <c r="G14" s="26">
        <v>97690000000</v>
      </c>
      <c r="H14" s="27">
        <v>14708000000</v>
      </c>
      <c r="I14" s="27">
        <v>7076000000</v>
      </c>
      <c r="J14" s="27">
        <v>7130000000</v>
      </c>
      <c r="K14" s="27"/>
      <c r="L14" s="27">
        <f t="shared" si="0"/>
        <v>7.5675897471593814</v>
      </c>
      <c r="M14" s="27">
        <f t="shared" si="1"/>
        <v>50.263655316834374</v>
      </c>
      <c r="N14" s="27">
        <f t="shared" si="2"/>
        <v>104.47680079140757</v>
      </c>
      <c r="O14" s="27">
        <f t="shared" si="3"/>
        <v>104.0384070687237</v>
      </c>
      <c r="Q14" s="28"/>
      <c r="R14" s="28"/>
    </row>
    <row r="15" spans="2:146" s="19" customFormat="1" ht="18" customHeight="1" x14ac:dyDescent="0.25">
      <c r="B15" s="25" t="s">
        <v>40</v>
      </c>
      <c r="C15" s="26">
        <v>99.47</v>
      </c>
      <c r="D15" s="26">
        <v>2427068000000</v>
      </c>
      <c r="E15" s="27">
        <v>2428749000000</v>
      </c>
      <c r="F15" s="27"/>
      <c r="G15" s="26">
        <v>130497000000</v>
      </c>
      <c r="H15" s="27">
        <v>86137000000</v>
      </c>
      <c r="I15" s="27">
        <v>81453000000</v>
      </c>
      <c r="J15" s="27">
        <v>72880000000</v>
      </c>
      <c r="K15" s="27"/>
      <c r="L15" s="27">
        <f t="shared" si="0"/>
        <v>18.611531299570107</v>
      </c>
      <c r="M15" s="27">
        <f t="shared" si="1"/>
        <v>28.19635000058047</v>
      </c>
      <c r="N15" s="27">
        <f t="shared" si="2"/>
        <v>29.81779676623329</v>
      </c>
      <c r="O15" s="27">
        <f t="shared" si="3"/>
        <v>33.302250274423713</v>
      </c>
      <c r="Q15" s="28"/>
      <c r="R15" s="28"/>
    </row>
    <row r="16" spans="2:146" s="19" customFormat="1" ht="18" customHeight="1" x14ac:dyDescent="0.25">
      <c r="B16" s="29" t="s">
        <v>25</v>
      </c>
      <c r="C16" s="30"/>
      <c r="D16" s="30"/>
      <c r="E16" s="31"/>
      <c r="F16" s="31"/>
      <c r="G16" s="32"/>
      <c r="H16" s="30"/>
      <c r="I16" s="30"/>
      <c r="J16" s="30"/>
      <c r="K16" s="30"/>
      <c r="L16" s="30">
        <f>AVERAGE(L11:L15)</f>
        <v>9.0702383456292708</v>
      </c>
      <c r="M16" s="30">
        <f>AVERAGE(M11:M15)</f>
        <v>26.011252128370966</v>
      </c>
      <c r="N16" s="30">
        <f>AVERAGE(N11:N15)</f>
        <v>40.509743862237933</v>
      </c>
      <c r="O16" s="30">
        <f>AVERAGE(O11:O15)</f>
        <v>43.271369596908855</v>
      </c>
      <c r="Q16" s="28"/>
      <c r="R16" s="28"/>
    </row>
    <row r="17" spans="1:18" s="19" customFormat="1" ht="18" customHeight="1" x14ac:dyDescent="0.25">
      <c r="B17" s="29" t="s">
        <v>26</v>
      </c>
      <c r="C17" s="33"/>
      <c r="D17" s="33"/>
      <c r="E17" s="34"/>
      <c r="F17" s="34"/>
      <c r="G17" s="35"/>
      <c r="H17" s="33"/>
      <c r="I17" s="33"/>
      <c r="J17" s="33"/>
      <c r="K17" s="33"/>
      <c r="L17" s="33">
        <f>MEDIAN(L11:L15)</f>
        <v>7.5675897471593814</v>
      </c>
      <c r="M17" s="33">
        <f>MEDIAN(M11:M15)</f>
        <v>20.479288642121961</v>
      </c>
      <c r="N17" s="33">
        <f>MEDIAN(N11:N15)</f>
        <v>27.456819136063448</v>
      </c>
      <c r="O17" s="33">
        <f>MEDIAN(O11:O15)</f>
        <v>30.828274287739671</v>
      </c>
      <c r="Q17" s="28"/>
      <c r="R17" s="28"/>
    </row>
    <row r="18" spans="1:18" s="16" customFormat="1" ht="18" customHeight="1" x14ac:dyDescent="0.2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Q18" s="28"/>
      <c r="R18" s="28"/>
    </row>
    <row r="19" spans="1:18" s="19" customFormat="1" ht="18" customHeight="1" x14ac:dyDescent="0.25">
      <c r="B19" s="28"/>
      <c r="C19" s="36"/>
      <c r="D19" s="36"/>
      <c r="E19" s="36"/>
      <c r="I19" s="36"/>
      <c r="J19" s="28"/>
      <c r="K19" s="28"/>
      <c r="L19" s="28"/>
      <c r="M19" s="28"/>
      <c r="N19" s="28"/>
      <c r="O19" s="28"/>
      <c r="Q19" s="28"/>
      <c r="R19" s="28"/>
    </row>
    <row r="20" spans="1:18" s="19" customFormat="1" ht="18" customHeight="1" x14ac:dyDescent="0.25">
      <c r="B20" s="13" t="s">
        <v>27</v>
      </c>
      <c r="C20" s="36"/>
      <c r="D20" s="36"/>
      <c r="E20" s="36"/>
      <c r="I20" s="36"/>
      <c r="J20" s="28"/>
      <c r="K20" s="28"/>
      <c r="L20" s="28"/>
      <c r="M20" s="28"/>
      <c r="N20" s="28"/>
      <c r="O20" s="28"/>
      <c r="Q20" s="28"/>
      <c r="R20" s="28"/>
    </row>
    <row r="21" spans="1:18" s="19" customFormat="1" ht="18" customHeight="1" x14ac:dyDescent="0.25">
      <c r="B21" s="15"/>
      <c r="C21" s="37"/>
      <c r="D21" s="37"/>
      <c r="E21" s="37"/>
      <c r="I21" s="36"/>
      <c r="J21" s="28"/>
      <c r="K21" s="28"/>
      <c r="L21" s="28"/>
      <c r="M21" s="28"/>
      <c r="N21" s="28"/>
      <c r="O21" s="28"/>
      <c r="Q21" s="28"/>
      <c r="R21" s="28"/>
    </row>
    <row r="22" spans="1:18" s="19" customFormat="1" ht="18" customHeight="1" x14ac:dyDescent="0.25">
      <c r="A22" s="28"/>
      <c r="B22" s="17"/>
      <c r="C22" s="28"/>
      <c r="D22" s="28"/>
      <c r="E22" s="28"/>
      <c r="F22" s="16"/>
      <c r="G22" s="16"/>
      <c r="H22" s="16"/>
      <c r="I22" s="36"/>
      <c r="J22" s="28"/>
      <c r="K22" s="28"/>
      <c r="L22" s="28"/>
      <c r="M22" s="28"/>
      <c r="N22" s="28"/>
      <c r="O22" s="28"/>
      <c r="P22" s="28"/>
      <c r="Q22" s="28"/>
      <c r="R22" s="28"/>
    </row>
    <row r="23" spans="1:18" s="19" customFormat="1" ht="18" customHeight="1" x14ac:dyDescent="0.25">
      <c r="A23" s="28"/>
      <c r="B23" s="20" t="s">
        <v>28</v>
      </c>
      <c r="C23" s="20" t="str">
        <f>C4</f>
        <v>Apple Inc</v>
      </c>
      <c r="D23" s="20" t="s">
        <v>29</v>
      </c>
      <c r="E23" s="20" t="s">
        <v>30</v>
      </c>
      <c r="F23" s="14"/>
      <c r="G23" s="14"/>
      <c r="H23" s="14"/>
      <c r="I23" s="14"/>
      <c r="J23" s="28"/>
      <c r="K23" s="28"/>
      <c r="L23" s="28"/>
      <c r="M23" s="28"/>
      <c r="N23" s="28"/>
      <c r="O23" s="28"/>
      <c r="P23" s="28"/>
      <c r="Q23" s="28"/>
      <c r="R23" s="28"/>
    </row>
    <row r="24" spans="1:18" s="19" customFormat="1" ht="18" customHeight="1" x14ac:dyDescent="0.25">
      <c r="A24" s="28"/>
      <c r="B24" s="38" t="s">
        <v>13</v>
      </c>
      <c r="C24" s="39">
        <v>134661000000</v>
      </c>
      <c r="D24" s="40">
        <f>M17</f>
        <v>20.479288642121961</v>
      </c>
      <c r="E24" s="39">
        <f>D24*C24</f>
        <v>2757761487836.7856</v>
      </c>
      <c r="F24" s="7"/>
      <c r="G24" s="7"/>
      <c r="H24" s="7"/>
      <c r="I24" s="14"/>
      <c r="J24" s="14"/>
      <c r="K24" s="14"/>
      <c r="L24" s="14"/>
      <c r="M24" s="14"/>
      <c r="N24" s="14"/>
      <c r="O24" s="14"/>
      <c r="P24" s="28"/>
      <c r="Q24" s="28"/>
      <c r="R24" s="28"/>
    </row>
    <row r="25" spans="1:18" s="16" customFormat="1" ht="18" customHeight="1" x14ac:dyDescent="0.25">
      <c r="A25" s="28"/>
      <c r="B25" s="38" t="s">
        <v>14</v>
      </c>
      <c r="C25" s="39">
        <v>123216000000</v>
      </c>
      <c r="D25" s="40">
        <f>N17</f>
        <v>27.456819136063448</v>
      </c>
      <c r="E25" s="39">
        <f t="shared" ref="E25:E26" si="4">D25*C25</f>
        <v>3383119426669.1938</v>
      </c>
      <c r="F25" s="7"/>
      <c r="G25" s="10"/>
      <c r="H25" s="10"/>
      <c r="I25" s="7"/>
      <c r="J25" s="7"/>
      <c r="K25" s="7"/>
      <c r="L25" s="7"/>
      <c r="M25" s="7"/>
      <c r="N25" s="7"/>
      <c r="O25" s="7"/>
      <c r="P25" s="28"/>
      <c r="Q25" s="28"/>
      <c r="R25" s="28"/>
    </row>
    <row r="26" spans="1:18" ht="14.95" customHeight="1" x14ac:dyDescent="0.25">
      <c r="A26" s="28"/>
      <c r="B26" s="38" t="s">
        <v>31</v>
      </c>
      <c r="C26" s="39">
        <v>93736000000</v>
      </c>
      <c r="D26" s="40">
        <f>O17</f>
        <v>30.828274287739671</v>
      </c>
      <c r="E26" s="39">
        <f t="shared" si="4"/>
        <v>2889719118635.5659</v>
      </c>
      <c r="F26" s="7"/>
      <c r="G26" s="10"/>
      <c r="H26" s="10"/>
      <c r="I26" s="7"/>
      <c r="J26" s="7"/>
      <c r="K26" s="7"/>
      <c r="L26" s="7"/>
      <c r="M26" s="7"/>
      <c r="N26" s="7"/>
      <c r="O26" s="7"/>
      <c r="P26" s="28"/>
      <c r="Q26" s="28"/>
      <c r="R26" s="28"/>
    </row>
    <row r="27" spans="1:18" s="7" customFormat="1" ht="25.15" customHeight="1" outlineLevel="1" x14ac:dyDescent="0.25">
      <c r="A27" s="14"/>
      <c r="F27" s="28"/>
      <c r="G27" s="10"/>
      <c r="H27" s="10"/>
      <c r="I27" s="41"/>
      <c r="J27" s="41"/>
      <c r="K27" s="41"/>
      <c r="L27" s="41"/>
      <c r="M27" s="41"/>
      <c r="N27" s="41"/>
      <c r="O27" s="41"/>
      <c r="P27" s="14"/>
      <c r="Q27" s="14"/>
      <c r="R27" s="14"/>
    </row>
    <row r="28" spans="1:18" s="7" customFormat="1" ht="25.15" customHeight="1" outlineLevel="1" x14ac:dyDescent="0.25">
      <c r="B28" s="42" t="s">
        <v>32</v>
      </c>
      <c r="C28" s="43"/>
      <c r="D28" s="41"/>
      <c r="E28" s="41"/>
      <c r="F28" s="28"/>
      <c r="G28" s="41"/>
      <c r="H28" s="41"/>
      <c r="I28" s="41"/>
      <c r="J28" s="41"/>
      <c r="K28" s="41"/>
      <c r="L28" s="41"/>
      <c r="M28" s="41"/>
      <c r="N28" s="41"/>
      <c r="O28" s="41"/>
    </row>
    <row r="29" spans="1:18" s="7" customFormat="1" ht="18" customHeight="1" outlineLevel="1" x14ac:dyDescent="0.25">
      <c r="B29" s="44" t="s">
        <v>33</v>
      </c>
      <c r="C29" s="45">
        <f>E26</f>
        <v>2889719118635.5659</v>
      </c>
      <c r="D29" s="41"/>
      <c r="E29" s="41"/>
      <c r="F29" s="28"/>
      <c r="G29" s="41"/>
      <c r="H29" s="41"/>
      <c r="I29" s="41"/>
      <c r="J29" s="41"/>
      <c r="K29" s="41"/>
      <c r="L29" s="41"/>
      <c r="M29" s="41"/>
      <c r="N29" s="41"/>
      <c r="O29" s="41"/>
    </row>
    <row r="30" spans="1:18" s="28" customFormat="1" ht="19.7" customHeight="1" outlineLevel="1" x14ac:dyDescent="0.25">
      <c r="A30" s="46"/>
      <c r="B30" s="44" t="s">
        <v>34</v>
      </c>
      <c r="C30" s="45">
        <v>15116786000</v>
      </c>
      <c r="D30" s="41"/>
      <c r="E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</row>
    <row r="31" spans="1:18" s="28" customFormat="1" ht="18" customHeight="1" outlineLevel="1" x14ac:dyDescent="0.25">
      <c r="A31" s="46"/>
      <c r="B31" s="47" t="s">
        <v>35</v>
      </c>
      <c r="C31" s="48">
        <f>C29/C30</f>
        <v>191.15962339055179</v>
      </c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</row>
    <row r="32" spans="1:18" s="28" customFormat="1" ht="18" customHeight="1" outlineLevel="1" x14ac:dyDescent="0.25">
      <c r="A32" s="46"/>
      <c r="B32" s="44" t="s">
        <v>36</v>
      </c>
      <c r="C32" s="49">
        <v>203.19</v>
      </c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</row>
    <row r="33" spans="1:18" s="28" customFormat="1" ht="57.1" customHeight="1" outlineLevel="1" x14ac:dyDescent="0.25">
      <c r="A33" s="46"/>
      <c r="B33" s="109" t="str">
        <f>IF(C31 &lt; 0, C4 &amp; "’s financial performance does not support its current market valuation when benchmarked purely on earnings-based valuation models.",
 IF(C31 &gt; C32, C4 &amp; " is undervalued by ~" &amp; TEXT((C31/C32 - 1)*100, "0") &amp; "% relative to its peer-based implied valuation.",
 C4 &amp; " is overvalued by ~" &amp; TEXT((1 - C31/C32)*100, "0") &amp; "% relative to its peer-based implied valuation."))</f>
        <v>Apple Inc is overvalued by ~6% relative to its peer-based implied valuation.</v>
      </c>
      <c r="C33" s="109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</row>
    <row r="34" spans="1:18" s="28" customFormat="1" ht="18" customHeight="1" outlineLevel="1" x14ac:dyDescent="0.25">
      <c r="B34" s="50"/>
      <c r="C34" s="50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</row>
    <row r="35" spans="1:18" s="28" customFormat="1" ht="18" customHeight="1" outlineLevel="1" x14ac:dyDescent="0.25">
      <c r="B35" s="50"/>
      <c r="C35" s="50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1:18" s="28" customFormat="1" ht="18" customHeight="1" outlineLevel="1" x14ac:dyDescent="0.25"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</row>
    <row r="37" spans="1:18" s="28" customFormat="1" ht="18" customHeight="1" outlineLevel="1" x14ac:dyDescent="0.25"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</row>
    <row r="38" spans="1:18" s="28" customFormat="1" ht="18" customHeight="1" outlineLevel="1" x14ac:dyDescent="0.25">
      <c r="P38" s="41"/>
      <c r="Q38" s="41"/>
      <c r="R38" s="41"/>
    </row>
    <row r="39" spans="1:18" s="28" customFormat="1" ht="18" customHeight="1" outlineLevel="1" x14ac:dyDescent="0.25">
      <c r="P39" s="41"/>
      <c r="Q39" s="41"/>
      <c r="R39" s="41"/>
    </row>
    <row r="40" spans="1:18" s="28" customFormat="1" ht="18" customHeight="1" outlineLevel="1" x14ac:dyDescent="0.25">
      <c r="P40" s="41"/>
      <c r="Q40" s="41"/>
      <c r="R40" s="41"/>
    </row>
    <row r="41" spans="1:18" s="28" customFormat="1" ht="18" customHeight="1" outlineLevel="1" x14ac:dyDescent="0.25">
      <c r="B41" s="46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</row>
    <row r="42" spans="1:18" s="28" customFormat="1" ht="45" customHeight="1" outlineLevel="1" x14ac:dyDescent="0.25">
      <c r="B42" s="46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</row>
    <row r="43" spans="1:18" s="28" customFormat="1" ht="18" customHeight="1" outlineLevel="1" x14ac:dyDescent="0.25">
      <c r="B43" s="10"/>
      <c r="C43" s="10"/>
      <c r="D43" s="10"/>
      <c r="E43" s="10"/>
      <c r="F43" s="10"/>
      <c r="G43" s="10"/>
      <c r="H43" s="10"/>
    </row>
    <row r="44" spans="1:18" ht="14.95" customHeight="1" x14ac:dyDescent="0.25">
      <c r="B44" s="10"/>
      <c r="C44" s="10"/>
      <c r="D44" s="10"/>
      <c r="E44" s="10"/>
      <c r="F44" s="10"/>
      <c r="G44" s="10"/>
      <c r="H44" s="10"/>
    </row>
    <row r="45" spans="1:18" s="7" customFormat="1" ht="25.15" customHeight="1" outlineLevel="1" x14ac:dyDescent="0.25">
      <c r="B45" s="10"/>
      <c r="C45" s="10"/>
      <c r="D45" s="10"/>
      <c r="E45" s="10"/>
      <c r="F45" s="10"/>
      <c r="G45" s="10"/>
      <c r="H45" s="10"/>
    </row>
    <row r="46" spans="1:18" s="7" customFormat="1" ht="18" customHeight="1" outlineLevel="1" x14ac:dyDescent="0.25">
      <c r="B46" s="10"/>
      <c r="C46" s="10"/>
      <c r="D46" s="10"/>
      <c r="E46" s="10"/>
      <c r="F46" s="10"/>
      <c r="G46" s="10"/>
      <c r="H46" s="10"/>
    </row>
    <row r="47" spans="1:18" s="41" customFormat="1" ht="18" customHeight="1" outlineLevel="1" x14ac:dyDescent="0.25">
      <c r="B47" s="10"/>
      <c r="C47" s="10"/>
      <c r="D47" s="10"/>
      <c r="E47" s="10"/>
      <c r="F47" s="10"/>
      <c r="G47" s="10"/>
      <c r="H47" s="10"/>
    </row>
    <row r="48" spans="1:18" s="41" customFormat="1" ht="18" customHeight="1" outlineLevel="1" x14ac:dyDescent="0.25">
      <c r="B48" s="10"/>
      <c r="C48" s="10"/>
      <c r="D48" s="10"/>
      <c r="E48" s="10"/>
      <c r="F48" s="10"/>
      <c r="G48" s="10"/>
      <c r="H48" s="10"/>
    </row>
    <row r="49" spans="2:12" s="41" customFormat="1" ht="18" customHeight="1" outlineLevel="1" x14ac:dyDescent="0.25">
      <c r="B49" s="10"/>
      <c r="C49" s="10"/>
      <c r="D49" s="10"/>
      <c r="E49" s="10"/>
      <c r="F49" s="10"/>
      <c r="G49" s="10"/>
      <c r="H49" s="10"/>
    </row>
    <row r="50" spans="2:12" s="41" customFormat="1" ht="18" customHeight="1" outlineLevel="1" x14ac:dyDescent="0.25">
      <c r="B50" s="10"/>
      <c r="C50" s="10"/>
      <c r="D50" s="10"/>
      <c r="E50" s="10"/>
      <c r="F50" s="10"/>
      <c r="G50" s="10"/>
      <c r="H50" s="10"/>
    </row>
    <row r="51" spans="2:12" s="41" customFormat="1" ht="18" customHeight="1" outlineLevel="1" x14ac:dyDescent="0.25">
      <c r="B51" s="10"/>
      <c r="C51" s="10"/>
      <c r="D51" s="10"/>
      <c r="E51" s="10"/>
      <c r="F51" s="10"/>
      <c r="G51" s="10"/>
      <c r="H51" s="10"/>
    </row>
    <row r="52" spans="2:12" s="41" customFormat="1" ht="18" customHeight="1" outlineLevel="1" x14ac:dyDescent="0.25">
      <c r="B52" s="10"/>
      <c r="C52" s="10"/>
      <c r="D52" s="10"/>
      <c r="E52" s="10"/>
      <c r="F52" s="10"/>
      <c r="G52" s="10"/>
      <c r="H52" s="10"/>
    </row>
    <row r="53" spans="2:12" s="41" customFormat="1" ht="18" customHeight="1" outlineLevel="1" x14ac:dyDescent="0.25">
      <c r="B53" s="10"/>
      <c r="C53" s="10"/>
      <c r="D53" s="10"/>
      <c r="E53" s="10"/>
      <c r="F53" s="10"/>
      <c r="G53" s="10"/>
      <c r="H53" s="10"/>
    </row>
    <row r="54" spans="2:12" s="41" customFormat="1" ht="18" customHeight="1" outlineLevel="1" x14ac:dyDescent="0.25">
      <c r="B54" s="10"/>
      <c r="C54" s="10"/>
      <c r="D54" s="10"/>
      <c r="E54" s="10"/>
      <c r="F54" s="10"/>
      <c r="G54" s="10"/>
      <c r="H54" s="10"/>
    </row>
    <row r="55" spans="2:12" s="41" customFormat="1" ht="18" customHeight="1" outlineLevel="1" x14ac:dyDescent="0.25">
      <c r="B55" s="10"/>
      <c r="C55" s="10"/>
      <c r="D55" s="10"/>
      <c r="E55" s="10"/>
      <c r="F55" s="10"/>
      <c r="G55" s="10"/>
      <c r="H55" s="10"/>
    </row>
    <row r="56" spans="2:12" s="41" customFormat="1" ht="18" customHeight="1" outlineLevel="1" x14ac:dyDescent="0.25">
      <c r="B56" s="10"/>
      <c r="C56" s="10"/>
      <c r="D56" s="10"/>
      <c r="E56" s="10"/>
      <c r="F56" s="10"/>
      <c r="G56" s="10"/>
      <c r="H56" s="10"/>
    </row>
    <row r="57" spans="2:12" s="41" customFormat="1" ht="18" customHeight="1" outlineLevel="1" x14ac:dyDescent="0.25">
      <c r="B57" s="10"/>
      <c r="C57" s="10"/>
      <c r="D57" s="10"/>
      <c r="E57" s="10"/>
      <c r="F57" s="10"/>
      <c r="G57" s="10"/>
      <c r="H57" s="10"/>
    </row>
    <row r="58" spans="2:12" s="41" customFormat="1" ht="18" customHeight="1" outlineLevel="1" x14ac:dyDescent="0.25">
      <c r="B58" s="10"/>
      <c r="C58" s="10"/>
      <c r="D58" s="10"/>
      <c r="E58" s="10"/>
      <c r="F58" s="10"/>
      <c r="G58" s="10"/>
      <c r="H58" s="10"/>
    </row>
    <row r="59" spans="2:12" s="41" customFormat="1" ht="18" customHeight="1" outlineLevel="1" x14ac:dyDescent="0.25">
      <c r="B59" s="10"/>
      <c r="C59" s="10"/>
      <c r="D59" s="10"/>
      <c r="E59" s="10"/>
      <c r="F59" s="10"/>
      <c r="G59" s="10"/>
      <c r="H59" s="10"/>
    </row>
    <row r="60" spans="2:12" s="41" customFormat="1" ht="18" customHeight="1" outlineLevel="1" x14ac:dyDescent="0.25">
      <c r="B60" s="10"/>
      <c r="C60" s="10"/>
      <c r="D60" s="10"/>
      <c r="E60" s="10"/>
      <c r="F60" s="10"/>
      <c r="G60" s="10"/>
      <c r="H60" s="10"/>
      <c r="I60" s="46"/>
    </row>
    <row r="61" spans="2:12" s="41" customFormat="1" ht="18" customHeight="1" outlineLevel="1" x14ac:dyDescent="0.25">
      <c r="B61" s="10"/>
      <c r="C61" s="10"/>
      <c r="D61" s="10"/>
      <c r="E61" s="10"/>
      <c r="F61" s="10"/>
      <c r="G61" s="10"/>
      <c r="H61" s="10"/>
      <c r="I61" s="46"/>
    </row>
    <row r="62" spans="2:12" s="19" customFormat="1" ht="12.1" customHeight="1" outlineLevel="1" x14ac:dyDescent="0.25">
      <c r="B62" s="10"/>
      <c r="C62" s="10"/>
      <c r="D62" s="10"/>
      <c r="E62" s="10"/>
      <c r="F62" s="10"/>
      <c r="G62" s="10"/>
      <c r="H62" s="10"/>
      <c r="I62" s="52"/>
      <c r="J62" s="52"/>
      <c r="K62" s="52"/>
      <c r="L62" s="53"/>
    </row>
    <row r="63" spans="2:12" s="7" customFormat="1" ht="25.15" customHeight="1" outlineLevel="1" x14ac:dyDescent="0.25">
      <c r="B63" s="10"/>
      <c r="C63" s="10"/>
      <c r="D63" s="10"/>
      <c r="E63" s="10"/>
      <c r="F63" s="10"/>
      <c r="G63" s="10"/>
      <c r="H63" s="10"/>
    </row>
    <row r="64" spans="2:12" s="19" customFormat="1" ht="12.1" customHeight="1" outlineLevel="1" x14ac:dyDescent="0.25">
      <c r="B64" s="10"/>
      <c r="C64" s="10"/>
      <c r="D64" s="10"/>
      <c r="E64" s="10"/>
      <c r="F64" s="10"/>
      <c r="G64" s="10"/>
      <c r="H64" s="10"/>
      <c r="I64" s="52"/>
      <c r="J64" s="52"/>
      <c r="K64" s="52"/>
      <c r="L64" s="53"/>
    </row>
    <row r="65" spans="2:19" s="19" customFormat="1" ht="18" customHeight="1" x14ac:dyDescent="0.25">
      <c r="B65" s="10"/>
      <c r="C65" s="10"/>
      <c r="D65" s="10"/>
      <c r="E65" s="10"/>
      <c r="F65" s="10"/>
      <c r="G65" s="10"/>
      <c r="H65" s="10"/>
      <c r="I65" s="54" t="e">
        <f>#REF!+#REF!</f>
        <v>#REF!</v>
      </c>
      <c r="J65" s="55" t="e">
        <f>#REF!+#REF!</f>
        <v>#REF!</v>
      </c>
      <c r="K65" s="54"/>
      <c r="L65" s="56" t="e">
        <f>(J65/F65)^(1/4)-1</f>
        <v>#REF!</v>
      </c>
    </row>
    <row r="66" spans="2:19" s="19" customFormat="1" ht="18" customHeight="1" x14ac:dyDescent="0.25">
      <c r="B66" s="10"/>
      <c r="C66" s="10"/>
      <c r="D66" s="10"/>
      <c r="E66" s="10"/>
      <c r="F66" s="10"/>
      <c r="G66" s="10"/>
      <c r="H66" s="10"/>
      <c r="I66" s="57" t="e">
        <f>AAPL_CCA!$C$59*-I65</f>
        <v>#REF!</v>
      </c>
      <c r="J66" s="58" t="e">
        <f>AAPL_CCA!$C$59*-J65</f>
        <v>#REF!</v>
      </c>
      <c r="K66" s="57"/>
      <c r="L66" s="59" t="str">
        <f>IFERROR((J66/F66)^(1/4)-1,"N/A")</f>
        <v>N/A</v>
      </c>
    </row>
    <row r="67" spans="2:19" s="19" customFormat="1" ht="18" customHeight="1" x14ac:dyDescent="0.25">
      <c r="B67" s="10"/>
      <c r="C67" s="10"/>
      <c r="D67" s="10"/>
      <c r="E67" s="10"/>
      <c r="F67" s="10"/>
      <c r="G67" s="10"/>
      <c r="H67" s="10"/>
      <c r="I67" s="57" t="e">
        <f>-(I68*#REF!)</f>
        <v>#REF!</v>
      </c>
      <c r="J67" s="58" t="e">
        <f>-(J68*#REF!)</f>
        <v>#REF!</v>
      </c>
      <c r="K67" s="57"/>
      <c r="L67" s="60" t="str">
        <f>IFERROR((J67/F67)^(1/4)-1,"n.a.")</f>
        <v>n.a.</v>
      </c>
      <c r="O67" s="105"/>
      <c r="P67" s="106"/>
      <c r="Q67" s="106"/>
      <c r="R67" s="106"/>
      <c r="S67" s="106"/>
    </row>
    <row r="68" spans="2:19" s="19" customFormat="1" ht="18" customHeight="1" x14ac:dyDescent="0.25">
      <c r="B68" s="10"/>
      <c r="C68" s="10"/>
      <c r="D68" s="10"/>
      <c r="E68" s="10"/>
      <c r="F68" s="10"/>
      <c r="G68" s="10"/>
      <c r="H68" s="10"/>
      <c r="I68" s="61">
        <f>H68</f>
        <v>0</v>
      </c>
      <c r="J68" s="62">
        <f>I68</f>
        <v>0</v>
      </c>
      <c r="K68" s="61"/>
      <c r="L68" s="63"/>
      <c r="M68" s="64"/>
      <c r="N68" s="64"/>
      <c r="O68" s="65"/>
      <c r="P68" s="65"/>
      <c r="Q68" s="65"/>
      <c r="R68" s="65"/>
      <c r="S68" s="65"/>
    </row>
    <row r="69" spans="2:19" s="19" customFormat="1" ht="18" customHeight="1" x14ac:dyDescent="0.25">
      <c r="B69" s="10"/>
      <c r="C69" s="10"/>
      <c r="D69" s="10"/>
      <c r="E69" s="10"/>
      <c r="F69" s="10"/>
      <c r="G69" s="10"/>
      <c r="H69" s="10"/>
      <c r="I69" s="57" t="e">
        <f>I70*#REF!</f>
        <v>#REF!</v>
      </c>
      <c r="J69" s="58" t="e">
        <f>J70*#REF!</f>
        <v>#REF!</v>
      </c>
      <c r="K69" s="57"/>
      <c r="L69" s="60"/>
    </row>
    <row r="70" spans="2:19" s="19" customFormat="1" ht="18" customHeight="1" x14ac:dyDescent="0.25">
      <c r="B70" s="10"/>
      <c r="C70" s="10"/>
      <c r="D70" s="10"/>
      <c r="E70" s="10"/>
      <c r="F70" s="10"/>
      <c r="G70" s="10"/>
      <c r="H70" s="10"/>
      <c r="I70" s="61">
        <f>H70</f>
        <v>0</v>
      </c>
      <c r="J70" s="62">
        <f>I70</f>
        <v>0</v>
      </c>
      <c r="K70" s="61"/>
      <c r="L70" s="60"/>
    </row>
    <row r="71" spans="2:19" s="19" customFormat="1" ht="18" customHeight="1" x14ac:dyDescent="0.25">
      <c r="B71" s="10"/>
      <c r="C71" s="10"/>
      <c r="D71" s="10"/>
      <c r="E71" s="10"/>
      <c r="F71" s="10"/>
      <c r="G71" s="10"/>
      <c r="H71" s="10"/>
      <c r="I71" s="57" t="e">
        <f>H69-I69</f>
        <v>#REF!</v>
      </c>
      <c r="J71" s="58" t="e">
        <f>I69-J69</f>
        <v>#REF!</v>
      </c>
      <c r="K71" s="57"/>
      <c r="L71" s="66"/>
      <c r="M71" s="67"/>
      <c r="N71" s="65"/>
      <c r="O71" s="68"/>
      <c r="P71" s="68"/>
      <c r="Q71" s="68"/>
      <c r="R71" s="68"/>
      <c r="S71" s="68"/>
    </row>
    <row r="72" spans="2:19" s="19" customFormat="1" ht="18" customHeight="1" x14ac:dyDescent="0.25">
      <c r="B72" s="10"/>
      <c r="C72" s="10"/>
      <c r="D72" s="10"/>
      <c r="E72" s="10"/>
      <c r="F72" s="10"/>
      <c r="G72" s="10"/>
      <c r="H72" s="10"/>
      <c r="I72" s="54" t="e">
        <f>#REF!+I66+I67+I71</f>
        <v>#REF!</v>
      </c>
      <c r="J72" s="55" t="e">
        <f>#REF!+J66+J67+J71</f>
        <v>#REF!</v>
      </c>
      <c r="K72" s="54"/>
      <c r="L72" s="69"/>
      <c r="M72" s="67"/>
      <c r="N72" s="65"/>
      <c r="O72" s="68"/>
      <c r="P72" s="68"/>
      <c r="Q72" s="68"/>
      <c r="R72" s="68"/>
      <c r="S72" s="68"/>
    </row>
    <row r="73" spans="2:19" s="19" customFormat="1" ht="18" customHeight="1" x14ac:dyDescent="0.25">
      <c r="B73" s="10"/>
      <c r="C73" s="10"/>
      <c r="D73" s="10"/>
      <c r="E73" s="10"/>
      <c r="F73" s="10"/>
      <c r="G73" s="10"/>
      <c r="H73" s="10"/>
      <c r="I73" s="70">
        <f>WACC</f>
        <v>0</v>
      </c>
      <c r="J73" s="71">
        <f>WACC</f>
        <v>0</v>
      </c>
      <c r="K73" s="70"/>
      <c r="L73" s="60"/>
    </row>
    <row r="74" spans="2:19" s="19" customFormat="1" ht="18" customHeight="1" x14ac:dyDescent="0.25">
      <c r="B74" s="10"/>
      <c r="C74" s="10"/>
      <c r="D74" s="10"/>
      <c r="E74" s="10"/>
      <c r="F74" s="10"/>
      <c r="G74" s="10"/>
      <c r="H74" s="10"/>
      <c r="I74" s="72">
        <f>H74+1</f>
        <v>1</v>
      </c>
      <c r="J74" s="73">
        <f>I74+1</f>
        <v>2</v>
      </c>
      <c r="K74" s="72"/>
      <c r="L74" s="60"/>
    </row>
    <row r="75" spans="2:19" s="19" customFormat="1" ht="18" customHeight="1" x14ac:dyDescent="0.25">
      <c r="B75" s="10"/>
      <c r="C75" s="10"/>
      <c r="D75" s="10"/>
      <c r="E75" s="10"/>
      <c r="F75" s="10"/>
      <c r="G75" s="10"/>
      <c r="H75" s="10"/>
      <c r="I75" s="74">
        <f>1/((1+I73)^I74)</f>
        <v>1</v>
      </c>
      <c r="J75" s="75">
        <f>1/((1+J73)^J74)</f>
        <v>1</v>
      </c>
      <c r="K75" s="74"/>
      <c r="L75" s="60"/>
    </row>
    <row r="76" spans="2:19" s="19" customFormat="1" ht="18" customHeight="1" thickBot="1" x14ac:dyDescent="0.3">
      <c r="B76" s="10"/>
      <c r="C76" s="10"/>
      <c r="D76" s="10"/>
      <c r="E76" s="10"/>
      <c r="F76" s="10"/>
      <c r="G76" s="10"/>
      <c r="H76" s="10"/>
      <c r="I76" s="76" t="e">
        <f>I75*I72</f>
        <v>#REF!</v>
      </c>
      <c r="J76" s="77" t="e">
        <f>J75*J72</f>
        <v>#REF!</v>
      </c>
      <c r="K76" s="76"/>
      <c r="L76" s="78"/>
      <c r="M76" s="67"/>
      <c r="N76" s="65"/>
      <c r="O76" s="68"/>
      <c r="P76" s="68"/>
      <c r="Q76" s="68"/>
      <c r="R76" s="68"/>
      <c r="S76" s="68"/>
    </row>
    <row r="77" spans="2:19" s="19" customFormat="1" ht="18" customHeight="1" thickTop="1" x14ac:dyDescent="0.25">
      <c r="B77" s="10"/>
      <c r="C77" s="10"/>
      <c r="D77" s="10"/>
      <c r="E77" s="10"/>
      <c r="F77" s="10"/>
      <c r="G77" s="10"/>
      <c r="H77" s="10"/>
      <c r="I77" s="52"/>
      <c r="J77" s="52"/>
      <c r="K77" s="52"/>
      <c r="L77" s="53"/>
    </row>
    <row r="78" spans="2:19" s="19" customFormat="1" ht="18" customHeight="1" x14ac:dyDescent="0.25">
      <c r="B78" s="10"/>
      <c r="C78" s="10"/>
      <c r="D78" s="10"/>
      <c r="E78" s="10"/>
      <c r="F78" s="10"/>
      <c r="G78" s="10"/>
      <c r="H78" s="10"/>
      <c r="I78" s="79" t="e">
        <f>#REF!</f>
        <v>#REF!</v>
      </c>
      <c r="J78" s="79" t="e">
        <f>#REF!</f>
        <v>#REF!</v>
      </c>
      <c r="K78" s="79"/>
      <c r="L78" s="53"/>
    </row>
    <row r="79" spans="2:19" s="19" customFormat="1" ht="18" customHeight="1" x14ac:dyDescent="0.25">
      <c r="B79" s="10"/>
      <c r="C79" s="10"/>
      <c r="D79" s="10"/>
      <c r="E79" s="10"/>
      <c r="F79" s="10"/>
      <c r="G79" s="10"/>
      <c r="H79" s="10"/>
      <c r="I79" s="80" t="e">
        <f>EV/#REF!</f>
        <v>#REF!</v>
      </c>
      <c r="J79" s="80" t="e">
        <f>EV/#REF!</f>
        <v>#REF!</v>
      </c>
      <c r="K79" s="81"/>
      <c r="L79" s="53"/>
    </row>
    <row r="80" spans="2:19" s="19" customFormat="1" ht="18" customHeight="1" outlineLevel="1" x14ac:dyDescent="0.25">
      <c r="B80" s="10"/>
      <c r="C80" s="10"/>
      <c r="D80" s="10"/>
      <c r="E80" s="10"/>
      <c r="F80" s="10"/>
      <c r="G80" s="10"/>
      <c r="H80" s="10"/>
      <c r="I80" s="81"/>
      <c r="J80" s="81"/>
      <c r="K80" s="81"/>
      <c r="L80" s="53"/>
    </row>
    <row r="81" spans="2:19" s="19" customFormat="1" ht="18" customHeight="1" outlineLevel="1" x14ac:dyDescent="0.25">
      <c r="B81" s="10"/>
      <c r="C81" s="10"/>
      <c r="D81" s="10"/>
      <c r="E81" s="10"/>
      <c r="F81" s="10"/>
      <c r="G81" s="10"/>
      <c r="H81" s="10"/>
      <c r="I81" s="81"/>
      <c r="J81" s="81"/>
      <c r="K81" s="81"/>
      <c r="L81" s="53"/>
    </row>
    <row r="82" spans="2:19" s="19" customFormat="1" ht="18" customHeight="1" outlineLevel="1" x14ac:dyDescent="0.25">
      <c r="B82" s="10"/>
      <c r="C82" s="10"/>
      <c r="D82" s="10"/>
      <c r="E82" s="10"/>
      <c r="F82" s="10"/>
      <c r="G82" s="10"/>
      <c r="H82" s="10"/>
      <c r="I82" s="82"/>
      <c r="J82" s="82"/>
      <c r="K82" s="82"/>
      <c r="L82" s="53"/>
    </row>
    <row r="83" spans="2:19" s="19" customFormat="1" ht="18" customHeight="1" x14ac:dyDescent="0.25">
      <c r="B83" s="10"/>
      <c r="C83" s="10"/>
      <c r="D83" s="10"/>
      <c r="E83" s="10"/>
      <c r="F83" s="10"/>
      <c r="G83" s="10"/>
      <c r="H83" s="10"/>
      <c r="I83" s="81" t="e">
        <f>EV/#REF!</f>
        <v>#REF!</v>
      </c>
      <c r="J83" s="81" t="e">
        <f>EV/#REF!</f>
        <v>#REF!</v>
      </c>
      <c r="K83" s="81"/>
      <c r="L83" s="53"/>
    </row>
    <row r="84" spans="2:19" s="19" customFormat="1" ht="18" customHeight="1" outlineLevel="1" x14ac:dyDescent="0.25">
      <c r="B84" s="10"/>
      <c r="C84" s="10"/>
      <c r="D84" s="10"/>
      <c r="E84" s="10"/>
      <c r="F84" s="10"/>
      <c r="G84" s="10"/>
      <c r="H84" s="10"/>
      <c r="I84" s="82"/>
      <c r="J84" s="82"/>
      <c r="K84" s="82"/>
      <c r="L84" s="53"/>
    </row>
    <row r="85" spans="2:19" s="19" customFormat="1" ht="18" customHeight="1" x14ac:dyDescent="0.25">
      <c r="B85" s="10"/>
      <c r="C85" s="10"/>
      <c r="D85" s="10"/>
      <c r="E85" s="10"/>
      <c r="F85" s="10"/>
      <c r="G85" s="10"/>
      <c r="H85" s="10"/>
      <c r="I85" s="83" t="e">
        <f>EV/H65</f>
        <v>#DIV/0!</v>
      </c>
      <c r="J85" s="83" t="e">
        <f>EV/I65</f>
        <v>#REF!</v>
      </c>
      <c r="K85" s="81"/>
      <c r="L85" s="53"/>
    </row>
    <row r="86" spans="2:19" s="19" customFormat="1" ht="18" customHeight="1" x14ac:dyDescent="0.25">
      <c r="B86" s="10"/>
      <c r="C86" s="10"/>
      <c r="D86" s="10"/>
      <c r="E86" s="10"/>
      <c r="F86" s="10"/>
      <c r="G86" s="10"/>
      <c r="H86" s="10"/>
      <c r="I86" s="84"/>
      <c r="J86" s="84"/>
      <c r="K86" s="84"/>
      <c r="L86" s="53"/>
    </row>
    <row r="87" spans="2:19" s="19" customFormat="1" ht="18" customHeight="1" x14ac:dyDescent="0.25">
      <c r="B87" s="10"/>
      <c r="C87" s="10"/>
      <c r="D87" s="10"/>
      <c r="E87" s="10"/>
      <c r="F87" s="10"/>
      <c r="G87" s="10"/>
      <c r="H87" s="10"/>
      <c r="L87" s="53"/>
    </row>
    <row r="88" spans="2:19" s="19" customFormat="1" ht="18" customHeight="1" x14ac:dyDescent="0.25">
      <c r="B88" s="10"/>
      <c r="C88" s="10"/>
      <c r="D88" s="10"/>
      <c r="E88" s="10"/>
      <c r="F88" s="10"/>
      <c r="G88" s="10"/>
      <c r="H88" s="10"/>
      <c r="L88" s="85"/>
    </row>
    <row r="89" spans="2:19" s="19" customFormat="1" ht="18" customHeight="1" x14ac:dyDescent="0.25">
      <c r="B89" s="10"/>
      <c r="C89" s="10"/>
      <c r="D89" s="10"/>
      <c r="E89" s="10"/>
      <c r="F89" s="10"/>
      <c r="G89" s="10"/>
      <c r="H89" s="10"/>
      <c r="L89" s="53"/>
      <c r="M89" s="110"/>
      <c r="N89" s="106"/>
      <c r="O89" s="106"/>
      <c r="P89" s="106"/>
      <c r="Q89" s="106"/>
      <c r="R89" s="106"/>
      <c r="S89" s="106"/>
    </row>
    <row r="90" spans="2:19" s="19" customFormat="1" ht="18" customHeight="1" x14ac:dyDescent="0.25">
      <c r="B90" s="10"/>
      <c r="C90" s="10"/>
      <c r="D90" s="10"/>
      <c r="E90" s="10"/>
      <c r="F90" s="10"/>
      <c r="G90" s="10"/>
      <c r="H90" s="10"/>
      <c r="L90" s="53"/>
      <c r="O90" s="110"/>
      <c r="P90" s="106"/>
      <c r="Q90" s="106"/>
      <c r="R90" s="106"/>
      <c r="S90" s="106"/>
    </row>
    <row r="91" spans="2:19" s="19" customFormat="1" ht="18" customHeight="1" x14ac:dyDescent="0.25">
      <c r="B91" s="10"/>
      <c r="C91" s="10"/>
      <c r="D91" s="10"/>
      <c r="E91" s="10"/>
      <c r="F91" s="10"/>
      <c r="G91" s="10"/>
      <c r="H91" s="10"/>
      <c r="L91" s="53"/>
      <c r="M91" s="86"/>
      <c r="N91" s="87"/>
      <c r="O91" s="88"/>
      <c r="P91" s="88"/>
      <c r="Q91" s="89"/>
      <c r="R91" s="88"/>
      <c r="S91" s="88"/>
    </row>
    <row r="92" spans="2:19" s="19" customFormat="1" ht="18" customHeight="1" x14ac:dyDescent="0.25">
      <c r="B92" s="10"/>
      <c r="C92" s="10"/>
      <c r="D92" s="10"/>
      <c r="E92" s="10"/>
      <c r="F92" s="10"/>
      <c r="G92" s="10"/>
      <c r="H92" s="10"/>
      <c r="L92" s="53"/>
      <c r="M92" s="90"/>
      <c r="N92" s="88"/>
      <c r="O92" s="91"/>
      <c r="P92" s="91"/>
      <c r="Q92" s="91"/>
      <c r="R92" s="91"/>
      <c r="S92" s="91"/>
    </row>
    <row r="93" spans="2:19" s="19" customFormat="1" ht="18" customHeight="1" x14ac:dyDescent="0.25">
      <c r="B93" s="10"/>
      <c r="C93" s="10"/>
      <c r="D93" s="10"/>
      <c r="E93" s="10"/>
      <c r="F93" s="10"/>
      <c r="G93" s="10"/>
      <c r="H93" s="10"/>
      <c r="L93" s="53"/>
      <c r="M93" s="90"/>
      <c r="N93" s="88"/>
      <c r="O93" s="91"/>
      <c r="P93" s="91"/>
      <c r="Q93" s="91"/>
      <c r="R93" s="91"/>
      <c r="S93" s="91"/>
    </row>
    <row r="94" spans="2:19" s="19" customFormat="1" ht="18" customHeight="1" x14ac:dyDescent="0.25">
      <c r="B94" s="10"/>
      <c r="C94" s="10"/>
      <c r="D94" s="10"/>
      <c r="E94" s="10"/>
      <c r="F94" s="10"/>
      <c r="G94" s="10"/>
      <c r="H94" s="10"/>
      <c r="L94" s="53"/>
      <c r="M94" s="90"/>
      <c r="N94" s="89"/>
      <c r="O94" s="91"/>
      <c r="P94" s="91"/>
      <c r="Q94" s="92"/>
      <c r="R94" s="91"/>
      <c r="S94" s="91"/>
    </row>
    <row r="95" spans="2:19" s="19" customFormat="1" ht="18" customHeight="1" x14ac:dyDescent="0.25">
      <c r="B95" s="10"/>
      <c r="C95" s="10"/>
      <c r="D95" s="10"/>
      <c r="E95" s="10"/>
      <c r="F95" s="10"/>
      <c r="G95" s="10"/>
      <c r="H95" s="10"/>
      <c r="L95" s="53"/>
      <c r="M95" s="90"/>
      <c r="N95" s="88"/>
      <c r="O95" s="91"/>
      <c r="P95" s="91"/>
      <c r="Q95" s="91"/>
      <c r="R95" s="91"/>
      <c r="S95" s="91"/>
    </row>
    <row r="96" spans="2:19" s="19" customFormat="1" ht="18" customHeight="1" x14ac:dyDescent="0.25">
      <c r="B96" s="10"/>
      <c r="C96" s="10"/>
      <c r="D96" s="10"/>
      <c r="E96" s="10"/>
      <c r="F96" s="10"/>
      <c r="G96" s="10"/>
      <c r="H96" s="10"/>
      <c r="L96" s="53"/>
      <c r="M96" s="90"/>
      <c r="N96" s="88"/>
      <c r="O96" s="91"/>
      <c r="P96" s="91"/>
      <c r="Q96" s="91"/>
      <c r="R96" s="91"/>
      <c r="S96" s="91"/>
    </row>
    <row r="97" spans="2:12" ht="14.3" customHeight="1" x14ac:dyDescent="0.25">
      <c r="B97" s="10"/>
      <c r="C97" s="10"/>
      <c r="D97" s="10"/>
      <c r="E97" s="10"/>
      <c r="F97" s="10"/>
      <c r="G97" s="10"/>
      <c r="H97" s="10"/>
      <c r="L97" s="46"/>
    </row>
    <row r="98" spans="2:12" ht="14.3" customHeight="1" x14ac:dyDescent="0.25">
      <c r="B98" s="10"/>
      <c r="C98" s="10"/>
      <c r="D98" s="10"/>
      <c r="E98" s="10"/>
      <c r="F98" s="10"/>
      <c r="G98" s="10"/>
      <c r="H98" s="10"/>
      <c r="L98" s="46"/>
    </row>
    <row r="99" spans="2:12" ht="14.3" customHeight="1" x14ac:dyDescent="0.25">
      <c r="B99" s="10"/>
      <c r="C99" s="10"/>
      <c r="D99" s="10"/>
      <c r="E99" s="10"/>
      <c r="F99" s="10"/>
      <c r="G99" s="10"/>
      <c r="H99" s="10"/>
      <c r="L99" s="46"/>
    </row>
    <row r="100" spans="2:12" ht="14.3" customHeight="1" x14ac:dyDescent="0.25">
      <c r="B100" s="10"/>
      <c r="C100" s="10"/>
      <c r="D100" s="10"/>
      <c r="E100" s="10"/>
      <c r="F100" s="10"/>
      <c r="G100" s="10"/>
      <c r="H100" s="10"/>
      <c r="L100" s="46"/>
    </row>
    <row r="101" spans="2:12" ht="14.3" customHeight="1" x14ac:dyDescent="0.25">
      <c r="B101" s="10"/>
      <c r="C101" s="10"/>
      <c r="D101" s="10"/>
      <c r="E101" s="10"/>
      <c r="F101" s="10"/>
      <c r="G101" s="10"/>
      <c r="H101" s="10"/>
      <c r="L101" s="46"/>
    </row>
    <row r="102" spans="2:12" ht="12.9" customHeight="1" x14ac:dyDescent="0.25">
      <c r="B102" s="10"/>
      <c r="C102" s="10"/>
      <c r="D102" s="10"/>
      <c r="E102" s="10"/>
      <c r="F102" s="10"/>
      <c r="G102" s="10"/>
      <c r="H102" s="10"/>
      <c r="L102" s="46"/>
    </row>
    <row r="103" spans="2:12" ht="14.3" customHeight="1" x14ac:dyDescent="0.25">
      <c r="B103" s="10"/>
      <c r="C103" s="10"/>
      <c r="D103" s="10"/>
      <c r="E103" s="10"/>
      <c r="F103" s="10"/>
      <c r="G103" s="10"/>
      <c r="H103" s="10"/>
      <c r="L103" s="46"/>
    </row>
    <row r="104" spans="2:12" ht="14.3" customHeight="1" x14ac:dyDescent="0.25">
      <c r="B104" s="10"/>
      <c r="C104" s="10"/>
      <c r="D104" s="10"/>
      <c r="E104" s="10"/>
      <c r="F104" s="10"/>
      <c r="G104" s="10"/>
      <c r="H104" s="10"/>
      <c r="L104" s="46"/>
    </row>
    <row r="105" spans="2:12" ht="14.3" customHeight="1" x14ac:dyDescent="0.25">
      <c r="B105" s="10"/>
      <c r="C105" s="10"/>
      <c r="D105" s="10"/>
      <c r="E105" s="10"/>
      <c r="F105" s="10"/>
      <c r="G105" s="10"/>
      <c r="H105" s="10"/>
      <c r="I105" s="46"/>
      <c r="J105" s="46"/>
      <c r="K105" s="46"/>
      <c r="L105" s="46"/>
    </row>
    <row r="106" spans="2:12" ht="14.3" customHeight="1" x14ac:dyDescent="0.25">
      <c r="B106" s="10"/>
      <c r="C106" s="10"/>
      <c r="D106" s="10"/>
      <c r="E106" s="10"/>
      <c r="F106" s="10"/>
      <c r="G106" s="10"/>
      <c r="H106" s="10"/>
      <c r="I106" s="28"/>
      <c r="J106" s="28"/>
      <c r="K106" s="28"/>
      <c r="L106" s="93"/>
    </row>
    <row r="107" spans="2:12" ht="14.3" customHeight="1" x14ac:dyDescent="0.25">
      <c r="B107" s="10"/>
      <c r="C107" s="10"/>
      <c r="D107" s="10"/>
      <c r="E107" s="10"/>
      <c r="F107" s="10"/>
      <c r="G107" s="10"/>
      <c r="H107" s="10"/>
      <c r="I107" s="7"/>
      <c r="J107" s="7"/>
      <c r="K107" s="7"/>
      <c r="L107" s="94"/>
    </row>
    <row r="108" spans="2:12" ht="14.3" customHeight="1" x14ac:dyDescent="0.25">
      <c r="B108" s="10"/>
      <c r="C108" s="10"/>
      <c r="D108" s="10"/>
      <c r="E108" s="10"/>
      <c r="F108" s="10"/>
      <c r="G108" s="10"/>
      <c r="H108" s="10"/>
      <c r="I108" s="7"/>
      <c r="J108" s="7"/>
      <c r="K108" s="7"/>
      <c r="L108" s="94"/>
    </row>
    <row r="109" spans="2:12" ht="14.3" customHeight="1" x14ac:dyDescent="0.25">
      <c r="B109" s="10"/>
      <c r="C109" s="10"/>
      <c r="D109" s="10"/>
      <c r="E109" s="10"/>
      <c r="F109" s="10"/>
      <c r="G109" s="10"/>
      <c r="H109" s="10"/>
    </row>
    <row r="110" spans="2:12" ht="14.3" customHeight="1" x14ac:dyDescent="0.25">
      <c r="B110" s="10"/>
      <c r="C110" s="10"/>
      <c r="D110" s="10"/>
      <c r="E110" s="10"/>
      <c r="F110" s="10"/>
      <c r="G110" s="10"/>
      <c r="H110" s="10"/>
    </row>
    <row r="111" spans="2:12" ht="14.3" customHeight="1" x14ac:dyDescent="0.25">
      <c r="B111" s="10"/>
      <c r="C111" s="10"/>
      <c r="D111" s="10"/>
      <c r="E111" s="10"/>
      <c r="F111" s="10"/>
      <c r="G111" s="10"/>
      <c r="H111" s="10"/>
    </row>
    <row r="112" spans="2:12" ht="14.3" customHeight="1" x14ac:dyDescent="0.25">
      <c r="B112" s="10"/>
      <c r="C112" s="10"/>
      <c r="D112" s="10"/>
      <c r="E112" s="10"/>
      <c r="F112" s="10"/>
      <c r="G112" s="10"/>
      <c r="H112" s="10"/>
    </row>
    <row r="113" spans="2:19" ht="14.3" customHeight="1" x14ac:dyDescent="0.25">
      <c r="B113" s="10"/>
      <c r="C113" s="10"/>
      <c r="D113" s="10"/>
      <c r="E113" s="10"/>
      <c r="F113" s="10"/>
      <c r="G113" s="10"/>
      <c r="H113" s="10"/>
    </row>
    <row r="114" spans="2:19" ht="14.3" customHeight="1" x14ac:dyDescent="0.25">
      <c r="B114" s="10"/>
      <c r="C114" s="10"/>
      <c r="D114" s="10"/>
      <c r="E114" s="10"/>
      <c r="F114" s="10"/>
      <c r="G114" s="10"/>
      <c r="H114" s="10"/>
    </row>
    <row r="115" spans="2:19" s="95" customFormat="1" ht="14.3" customHeight="1" x14ac:dyDescent="0.25">
      <c r="B115" s="10"/>
      <c r="C115" s="10"/>
      <c r="D115" s="10"/>
      <c r="E115" s="10"/>
      <c r="F115" s="10"/>
      <c r="G115" s="10"/>
      <c r="H115" s="10"/>
      <c r="I115" s="14"/>
      <c r="J115" s="14"/>
      <c r="K115" s="14"/>
      <c r="L115" s="51"/>
      <c r="M115" s="14"/>
      <c r="N115" s="14"/>
      <c r="O115" s="14"/>
      <c r="P115" s="14"/>
      <c r="Q115" s="14"/>
      <c r="R115" s="14"/>
      <c r="S115" s="14"/>
    </row>
    <row r="116" spans="2:19" s="95" customFormat="1" ht="14.3" customHeight="1" x14ac:dyDescent="0.25">
      <c r="B116" s="10"/>
      <c r="C116" s="10"/>
      <c r="D116" s="10"/>
      <c r="E116" s="10"/>
      <c r="F116" s="10"/>
      <c r="G116" s="10"/>
      <c r="H116" s="10"/>
      <c r="I116" s="14"/>
      <c r="J116" s="14"/>
      <c r="K116" s="14"/>
      <c r="L116" s="51"/>
    </row>
    <row r="117" spans="2:19" ht="14.3" customHeight="1" x14ac:dyDescent="0.25">
      <c r="B117" s="10"/>
      <c r="C117" s="10"/>
      <c r="D117" s="10"/>
      <c r="E117" s="10"/>
      <c r="F117" s="10"/>
      <c r="G117" s="10"/>
      <c r="H117" s="10"/>
      <c r="M117" s="95"/>
      <c r="N117" s="95"/>
      <c r="O117" s="95"/>
      <c r="P117" s="95"/>
      <c r="Q117" s="95"/>
      <c r="R117" s="95"/>
      <c r="S117" s="95"/>
    </row>
    <row r="118" spans="2:19" ht="14.3" customHeight="1" x14ac:dyDescent="0.25">
      <c r="B118" s="10"/>
      <c r="C118" s="10"/>
      <c r="D118" s="10"/>
      <c r="E118" s="10"/>
      <c r="F118" s="10"/>
      <c r="G118" s="10"/>
      <c r="H118" s="10"/>
    </row>
    <row r="119" spans="2:19" ht="14.3" customHeight="1" x14ac:dyDescent="0.25">
      <c r="B119" s="10"/>
      <c r="C119" s="10"/>
      <c r="D119" s="10"/>
      <c r="E119" s="10"/>
      <c r="F119" s="10"/>
      <c r="G119" s="10"/>
      <c r="H119" s="10"/>
    </row>
    <row r="120" spans="2:19" ht="14.3" customHeight="1" x14ac:dyDescent="0.25">
      <c r="B120" s="10"/>
      <c r="C120" s="10"/>
      <c r="D120" s="10"/>
      <c r="E120" s="10"/>
      <c r="F120" s="10"/>
      <c r="G120" s="10"/>
      <c r="H120" s="10"/>
      <c r="L120" s="96"/>
    </row>
    <row r="121" spans="2:19" ht="14.3" customHeight="1" x14ac:dyDescent="0.25">
      <c r="B121" s="10"/>
      <c r="C121" s="10"/>
      <c r="D121" s="10"/>
      <c r="E121" s="10"/>
      <c r="F121" s="10"/>
      <c r="G121" s="10"/>
      <c r="H121" s="10"/>
      <c r="I121" s="97"/>
      <c r="J121" s="97"/>
      <c r="K121" s="97"/>
      <c r="L121" s="97"/>
    </row>
    <row r="122" spans="2:19" ht="14.3" customHeight="1" x14ac:dyDescent="0.25">
      <c r="B122" s="10"/>
      <c r="C122" s="10"/>
      <c r="D122" s="10"/>
      <c r="E122" s="10"/>
      <c r="F122" s="10"/>
      <c r="G122" s="10"/>
      <c r="H122" s="10"/>
      <c r="L122" s="98"/>
    </row>
    <row r="123" spans="2:19" ht="14.3" customHeight="1" x14ac:dyDescent="0.25">
      <c r="B123" s="111"/>
      <c r="C123" s="10"/>
      <c r="D123" s="10"/>
      <c r="E123" s="10"/>
      <c r="F123" s="10"/>
      <c r="G123" s="10"/>
      <c r="H123" s="10"/>
      <c r="L123" s="99"/>
    </row>
    <row r="124" spans="2:19" ht="14.3" customHeight="1" x14ac:dyDescent="0.25">
      <c r="B124" s="112"/>
      <c r="C124" s="10"/>
      <c r="D124" s="10"/>
      <c r="E124" s="10"/>
      <c r="F124" s="10"/>
      <c r="G124" s="10"/>
      <c r="H124" s="10"/>
      <c r="L124" s="98"/>
    </row>
    <row r="125" spans="2:19" ht="14.3" customHeight="1" x14ac:dyDescent="0.25">
      <c r="B125" s="10"/>
      <c r="C125" s="10"/>
      <c r="D125" s="10"/>
      <c r="E125" s="10"/>
      <c r="F125" s="10"/>
      <c r="G125" s="10"/>
      <c r="H125" s="10"/>
      <c r="L125" s="96"/>
    </row>
    <row r="126" spans="2:19" ht="14.3" customHeight="1" x14ac:dyDescent="0.25">
      <c r="B126" s="10"/>
      <c r="C126" s="10"/>
      <c r="D126" s="10"/>
      <c r="E126" s="10"/>
      <c r="F126" s="10"/>
      <c r="G126" s="10"/>
      <c r="H126" s="10"/>
      <c r="L126" s="96"/>
    </row>
    <row r="127" spans="2:19" ht="14.3" customHeight="1" x14ac:dyDescent="0.25">
      <c r="B127" s="10"/>
      <c r="C127" s="10"/>
      <c r="D127" s="10"/>
      <c r="E127" s="10"/>
      <c r="F127" s="10"/>
      <c r="G127" s="10"/>
      <c r="H127" s="10"/>
      <c r="L127" s="100"/>
    </row>
    <row r="128" spans="2:19" s="95" customFormat="1" ht="14.3" customHeight="1" x14ac:dyDescent="0.25">
      <c r="B128" s="10"/>
      <c r="C128" s="10"/>
      <c r="D128" s="10"/>
      <c r="E128" s="10"/>
      <c r="F128" s="10"/>
      <c r="G128" s="10"/>
      <c r="H128" s="10"/>
      <c r="I128" s="14"/>
      <c r="J128" s="14"/>
      <c r="K128" s="14"/>
      <c r="L128" s="96"/>
      <c r="M128" s="14"/>
      <c r="N128" s="14"/>
      <c r="O128" s="14"/>
      <c r="P128" s="14"/>
      <c r="Q128" s="14"/>
      <c r="R128" s="14"/>
      <c r="S128" s="14"/>
    </row>
    <row r="129" spans="2:19" ht="14.3" customHeight="1" x14ac:dyDescent="0.25">
      <c r="B129" s="10"/>
      <c r="C129" s="10"/>
      <c r="D129" s="10"/>
      <c r="E129" s="10"/>
      <c r="F129" s="10"/>
      <c r="G129" s="10"/>
      <c r="H129" s="10"/>
      <c r="L129" s="96"/>
      <c r="M129" s="95"/>
      <c r="N129" s="95"/>
      <c r="O129" s="95"/>
      <c r="P129" s="95"/>
      <c r="Q129" s="95"/>
      <c r="R129" s="95"/>
      <c r="S129" s="95"/>
    </row>
    <row r="130" spans="2:19" ht="14.3" customHeight="1" x14ac:dyDescent="0.25">
      <c r="B130" s="10"/>
      <c r="C130" s="10"/>
      <c r="D130" s="10"/>
      <c r="E130" s="10"/>
      <c r="F130" s="10"/>
      <c r="G130" s="10"/>
      <c r="H130" s="10"/>
      <c r="L130" s="96"/>
    </row>
    <row r="131" spans="2:19" ht="14.3" customHeight="1" x14ac:dyDescent="0.25">
      <c r="B131" s="10"/>
      <c r="C131" s="10"/>
      <c r="D131" s="10"/>
      <c r="E131" s="10"/>
      <c r="F131" s="10"/>
      <c r="G131" s="10"/>
      <c r="H131" s="10"/>
    </row>
    <row r="132" spans="2:19" ht="14.3" customHeight="1" x14ac:dyDescent="0.25">
      <c r="B132" s="10"/>
      <c r="C132" s="10"/>
      <c r="D132" s="10"/>
      <c r="E132" s="10"/>
      <c r="F132" s="10"/>
      <c r="G132" s="10"/>
      <c r="H132" s="10"/>
      <c r="L132" s="101"/>
    </row>
    <row r="133" spans="2:19" ht="14.3" customHeight="1" x14ac:dyDescent="0.25">
      <c r="B133" s="10"/>
      <c r="C133" s="10"/>
      <c r="D133" s="10"/>
      <c r="E133" s="10"/>
      <c r="F133" s="10"/>
      <c r="G133" s="10"/>
      <c r="H133" s="10"/>
      <c r="L133" s="98"/>
    </row>
    <row r="134" spans="2:19" ht="14.3" customHeight="1" x14ac:dyDescent="0.25">
      <c r="B134" s="111"/>
      <c r="C134" s="10"/>
      <c r="D134" s="10"/>
      <c r="E134" s="10"/>
      <c r="F134" s="10"/>
      <c r="G134" s="10"/>
      <c r="H134" s="10"/>
      <c r="L134" s="99"/>
    </row>
    <row r="135" spans="2:19" ht="14.3" customHeight="1" x14ac:dyDescent="0.25">
      <c r="B135" s="112"/>
      <c r="C135" s="10"/>
      <c r="D135" s="10"/>
      <c r="E135" s="10"/>
      <c r="F135" s="10"/>
      <c r="G135" s="10"/>
      <c r="H135" s="10"/>
      <c r="L135" s="98"/>
    </row>
    <row r="136" spans="2:19" ht="14.3" customHeight="1" x14ac:dyDescent="0.25">
      <c r="B136" s="10"/>
      <c r="C136" s="10"/>
      <c r="D136" s="10"/>
      <c r="E136" s="10"/>
      <c r="F136" s="10"/>
      <c r="G136" s="10"/>
      <c r="H136" s="10"/>
      <c r="L136" s="96"/>
    </row>
    <row r="137" spans="2:19" ht="14.3" customHeight="1" x14ac:dyDescent="0.25">
      <c r="B137" s="10"/>
      <c r="C137" s="10"/>
      <c r="D137" s="10"/>
      <c r="E137" s="10"/>
      <c r="F137" s="10"/>
      <c r="G137" s="10"/>
      <c r="H137" s="10"/>
    </row>
    <row r="138" spans="2:19" ht="14.3" customHeight="1" x14ac:dyDescent="0.25">
      <c r="B138" s="10"/>
      <c r="C138" s="10"/>
      <c r="D138" s="10"/>
      <c r="E138" s="10"/>
      <c r="F138" s="10"/>
      <c r="G138" s="10"/>
      <c r="H138" s="10"/>
      <c r="L138" s="96"/>
    </row>
    <row r="139" spans="2:19" ht="14.3" customHeight="1" x14ac:dyDescent="0.25">
      <c r="B139" s="10"/>
      <c r="C139" s="10"/>
      <c r="D139" s="10"/>
      <c r="E139" s="10"/>
      <c r="F139" s="10"/>
      <c r="G139" s="10"/>
      <c r="H139" s="10"/>
      <c r="L139" s="96"/>
    </row>
    <row r="140" spans="2:19" ht="14.3" customHeight="1" x14ac:dyDescent="0.25">
      <c r="B140" s="10"/>
      <c r="C140" s="10"/>
      <c r="D140" s="10"/>
      <c r="E140" s="10"/>
      <c r="F140" s="10"/>
      <c r="G140" s="10"/>
      <c r="H140" s="10"/>
      <c r="L140" s="96"/>
    </row>
    <row r="141" spans="2:19" ht="14.3" customHeight="1" x14ac:dyDescent="0.25">
      <c r="B141" s="10"/>
      <c r="C141" s="10"/>
      <c r="D141" s="10"/>
      <c r="E141" s="10"/>
      <c r="F141" s="10"/>
      <c r="G141" s="10"/>
      <c r="H141" s="10"/>
      <c r="L141" s="96"/>
    </row>
    <row r="142" spans="2:19" ht="14.3" customHeight="1" x14ac:dyDescent="0.25">
      <c r="B142" s="10"/>
      <c r="C142" s="10"/>
      <c r="D142" s="10"/>
      <c r="E142" s="10"/>
      <c r="F142" s="10"/>
      <c r="G142" s="10"/>
      <c r="H142" s="10"/>
      <c r="L142" s="96"/>
    </row>
    <row r="143" spans="2:19" ht="14.3" customHeight="1" x14ac:dyDescent="0.25">
      <c r="B143" s="10"/>
      <c r="C143" s="10"/>
      <c r="D143" s="10"/>
      <c r="E143" s="10"/>
      <c r="F143" s="10"/>
      <c r="G143" s="10"/>
      <c r="H143" s="10"/>
      <c r="L143" s="96"/>
    </row>
    <row r="144" spans="2:19" ht="14.3" customHeight="1" x14ac:dyDescent="0.25">
      <c r="B144" s="10"/>
      <c r="C144" s="10"/>
      <c r="D144" s="10"/>
      <c r="E144" s="10"/>
      <c r="F144" s="10"/>
      <c r="G144" s="10"/>
      <c r="H144" s="10"/>
      <c r="L144" s="96"/>
    </row>
    <row r="145" spans="2:12" ht="14.3" customHeight="1" x14ac:dyDescent="0.25">
      <c r="B145" s="10"/>
      <c r="C145" s="10"/>
      <c r="D145" s="10"/>
      <c r="E145" s="10"/>
      <c r="F145" s="10"/>
      <c r="G145" s="10"/>
      <c r="H145" s="10"/>
      <c r="L145" s="99"/>
    </row>
    <row r="146" spans="2:12" ht="14.3" customHeight="1" x14ac:dyDescent="0.25">
      <c r="B146" s="10"/>
      <c r="C146" s="10"/>
      <c r="D146" s="10"/>
      <c r="E146" s="10"/>
      <c r="F146" s="10"/>
      <c r="G146" s="10"/>
      <c r="H146" s="10"/>
      <c r="L146" s="101"/>
    </row>
    <row r="147" spans="2:12" ht="14.3" customHeight="1" x14ac:dyDescent="0.25">
      <c r="B147" s="10"/>
      <c r="C147" s="10"/>
      <c r="D147" s="10"/>
      <c r="E147" s="10"/>
      <c r="F147" s="10"/>
      <c r="G147" s="10"/>
      <c r="H147" s="10"/>
      <c r="L147" s="98"/>
    </row>
    <row r="148" spans="2:12" ht="14.3" customHeight="1" x14ac:dyDescent="0.25">
      <c r="B148" s="111"/>
      <c r="C148" s="10"/>
      <c r="D148" s="10"/>
      <c r="E148" s="10"/>
      <c r="F148" s="10"/>
      <c r="G148" s="10"/>
      <c r="H148" s="10"/>
      <c r="L148" s="99"/>
    </row>
    <row r="149" spans="2:12" ht="14.3" customHeight="1" x14ac:dyDescent="0.25">
      <c r="B149" s="112"/>
      <c r="C149" s="10"/>
      <c r="D149" s="10"/>
      <c r="E149" s="10"/>
      <c r="F149" s="10"/>
      <c r="G149" s="10"/>
      <c r="H149" s="10"/>
      <c r="L149" s="98"/>
    </row>
    <row r="150" spans="2:12" ht="14.3" customHeight="1" x14ac:dyDescent="0.25">
      <c r="B150" s="10"/>
      <c r="C150" s="10"/>
      <c r="D150" s="10"/>
      <c r="E150" s="10"/>
      <c r="F150" s="10"/>
      <c r="G150" s="10"/>
      <c r="H150" s="10"/>
      <c r="L150" s="99"/>
    </row>
    <row r="151" spans="2:12" ht="14.3" customHeight="1" x14ac:dyDescent="0.25">
      <c r="B151" s="10"/>
      <c r="C151" s="10"/>
      <c r="D151" s="10"/>
      <c r="E151" s="10"/>
      <c r="F151" s="10"/>
      <c r="G151" s="10"/>
      <c r="H151" s="10"/>
      <c r="L151" s="99"/>
    </row>
    <row r="152" spans="2:12" ht="14.3" customHeight="1" x14ac:dyDescent="0.25">
      <c r="B152" s="10"/>
      <c r="C152" s="10"/>
      <c r="D152" s="10"/>
      <c r="E152" s="10"/>
      <c r="F152" s="10"/>
      <c r="G152" s="10"/>
      <c r="H152" s="10"/>
      <c r="L152" s="99"/>
    </row>
    <row r="153" spans="2:12" ht="14.3" customHeight="1" x14ac:dyDescent="0.25">
      <c r="B153" s="10"/>
      <c r="C153" s="10"/>
      <c r="D153" s="10"/>
      <c r="E153" s="10"/>
      <c r="F153" s="10"/>
      <c r="G153" s="10"/>
      <c r="H153" s="10"/>
      <c r="L153" s="99"/>
    </row>
    <row r="154" spans="2:12" ht="14.3" customHeight="1" x14ac:dyDescent="0.25">
      <c r="B154" s="10"/>
      <c r="C154" s="10"/>
      <c r="D154" s="10"/>
      <c r="E154" s="10"/>
      <c r="F154" s="10"/>
      <c r="G154" s="10"/>
      <c r="H154" s="10"/>
      <c r="L154" s="99"/>
    </row>
    <row r="155" spans="2:12" ht="14.3" customHeight="1" x14ac:dyDescent="0.25">
      <c r="B155" s="10"/>
      <c r="C155" s="10"/>
      <c r="D155" s="10"/>
      <c r="E155" s="10"/>
      <c r="F155" s="10"/>
      <c r="G155" s="10"/>
      <c r="H155" s="10"/>
      <c r="L155" s="99"/>
    </row>
    <row r="156" spans="2:12" ht="14.3" customHeight="1" x14ac:dyDescent="0.25">
      <c r="B156" s="10"/>
      <c r="C156" s="10"/>
      <c r="D156" s="10"/>
      <c r="E156" s="10"/>
      <c r="F156" s="10"/>
      <c r="G156" s="10"/>
      <c r="H156" s="10"/>
      <c r="L156" s="99"/>
    </row>
    <row r="157" spans="2:12" ht="14.3" customHeight="1" x14ac:dyDescent="0.25">
      <c r="B157" s="10"/>
      <c r="C157" s="10"/>
      <c r="D157" s="10"/>
      <c r="E157" s="10"/>
      <c r="F157" s="10"/>
      <c r="G157" s="10"/>
      <c r="H157" s="10"/>
      <c r="L157" s="99"/>
    </row>
    <row r="158" spans="2:12" ht="14.3" customHeight="1" x14ac:dyDescent="0.25">
      <c r="B158" s="10"/>
      <c r="C158" s="10"/>
      <c r="D158" s="10"/>
      <c r="E158" s="10"/>
      <c r="F158" s="10"/>
      <c r="G158" s="10"/>
      <c r="H158" s="10"/>
      <c r="L158" s="99"/>
    </row>
    <row r="159" spans="2:12" ht="14.3" customHeight="1" x14ac:dyDescent="0.25">
      <c r="B159" s="10"/>
      <c r="C159" s="10"/>
      <c r="D159" s="10"/>
      <c r="E159" s="10"/>
      <c r="F159" s="10"/>
      <c r="G159" s="10"/>
      <c r="H159" s="10"/>
      <c r="L159" s="99"/>
    </row>
    <row r="160" spans="2:12" x14ac:dyDescent="0.25">
      <c r="B160" s="102"/>
      <c r="C160" s="99"/>
      <c r="D160" s="99"/>
      <c r="E160" s="99"/>
      <c r="L160" s="99"/>
    </row>
    <row r="161" spans="2:12" x14ac:dyDescent="0.25">
      <c r="B161" s="102"/>
      <c r="C161" s="99"/>
      <c r="D161" s="99"/>
      <c r="E161" s="99"/>
      <c r="L161" s="99"/>
    </row>
    <row r="162" spans="2:12" x14ac:dyDescent="0.25">
      <c r="B162" s="102"/>
      <c r="C162" s="99"/>
      <c r="D162" s="99"/>
      <c r="E162" s="99"/>
      <c r="L162" s="99"/>
    </row>
    <row r="163" spans="2:12" x14ac:dyDescent="0.25">
      <c r="B163" s="102"/>
      <c r="C163" s="99"/>
      <c r="D163" s="99"/>
      <c r="E163" s="99"/>
      <c r="L163" s="99"/>
    </row>
    <row r="164" spans="2:12" x14ac:dyDescent="0.25">
      <c r="B164" s="102"/>
      <c r="C164" s="99"/>
      <c r="D164" s="99"/>
      <c r="E164" s="99"/>
      <c r="L164" s="99"/>
    </row>
    <row r="165" spans="2:12" x14ac:dyDescent="0.25">
      <c r="B165" s="102"/>
      <c r="C165" s="99"/>
      <c r="D165" s="99"/>
      <c r="E165" s="99"/>
      <c r="L165" s="99"/>
    </row>
  </sheetData>
  <autoFilter ref="B7" xr:uid="{00000000-0001-0000-0100-000000000000}"/>
  <mergeCells count="11">
    <mergeCell ref="O67:S67"/>
    <mergeCell ref="B2:C3"/>
    <mergeCell ref="C9:E9"/>
    <mergeCell ref="G9:J9"/>
    <mergeCell ref="L9:O9"/>
    <mergeCell ref="B33:C33"/>
    <mergeCell ref="M89:S89"/>
    <mergeCell ref="O90:S90"/>
    <mergeCell ref="B123:B124"/>
    <mergeCell ref="B134:B135"/>
    <mergeCell ref="B148:B149"/>
  </mergeCells>
  <pageMargins left="0.3" right="0.3" top="0.3" bottom="0.3" header="0" footer="0"/>
  <pageSetup paperSize="9" scale="88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51CC2-447D-4B6D-B9E9-311ADA922633}">
  <sheetPr>
    <tabColor theme="3" tint="0.39997558519241921"/>
    <pageSetUpPr fitToPage="1"/>
  </sheetPr>
  <dimension ref="A1:EP165"/>
  <sheetViews>
    <sheetView showGridLines="0" topLeftCell="A11" zoomScale="115" zoomScaleNormal="115" workbookViewId="0">
      <selection activeCell="B33" sqref="B33:C33"/>
    </sheetView>
  </sheetViews>
  <sheetFormatPr defaultColWidth="13.5" defaultRowHeight="11.55" outlineLevelRow="1" x14ac:dyDescent="0.25"/>
  <cols>
    <col min="1" max="1" width="3.375" style="14" customWidth="1"/>
    <col min="2" max="2" width="36.75" style="14" customWidth="1"/>
    <col min="3" max="5" width="25.625" style="14" customWidth="1"/>
    <col min="6" max="6" width="4" style="14" customWidth="1"/>
    <col min="7" max="10" width="25.625" style="14" customWidth="1"/>
    <col min="11" max="11" width="4.625" style="14" customWidth="1"/>
    <col min="12" max="12" width="25.625" style="51" customWidth="1"/>
    <col min="13" max="15" width="25.625" style="14" customWidth="1"/>
    <col min="16" max="16" width="11.875" style="14" customWidth="1"/>
    <col min="17" max="17" width="10.5" style="14" customWidth="1"/>
    <col min="18" max="18" width="11.625" style="14" customWidth="1"/>
    <col min="19" max="19" width="8.875" style="14" customWidth="1"/>
    <col min="20" max="20" width="3.125" style="14" customWidth="1"/>
    <col min="21" max="23" width="13.5" style="14" customWidth="1"/>
    <col min="24" max="24" width="10" style="14" customWidth="1"/>
    <col min="25" max="27" width="13.5" style="14" customWidth="1"/>
    <col min="28" max="16384" width="13.5" style="14"/>
  </cols>
  <sheetData>
    <row r="1" spans="2:146" s="4" customFormat="1" ht="45" customHeight="1" x14ac:dyDescent="0.25">
      <c r="B1" s="1" t="s">
        <v>0</v>
      </c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</row>
    <row r="2" spans="2:146" s="7" customFormat="1" ht="25.15" customHeight="1" x14ac:dyDescent="0.25">
      <c r="B2" s="103" t="s">
        <v>41</v>
      </c>
      <c r="C2" s="103"/>
      <c r="D2" s="5"/>
      <c r="E2" s="6"/>
      <c r="F2" s="6"/>
      <c r="G2" s="6"/>
      <c r="H2" s="6"/>
    </row>
    <row r="3" spans="2:146" s="7" customFormat="1" ht="17.850000000000001" customHeight="1" x14ac:dyDescent="0.25">
      <c r="B3" s="104"/>
      <c r="C3" s="104"/>
      <c r="D3" s="6"/>
      <c r="E3" s="6" t="s">
        <v>1</v>
      </c>
      <c r="F3" s="6"/>
      <c r="G3" s="6"/>
      <c r="H3" s="6"/>
    </row>
    <row r="4" spans="2:146" s="7" customFormat="1" ht="27.2" customHeight="1" x14ac:dyDescent="0.25">
      <c r="B4" s="8" t="s">
        <v>2</v>
      </c>
      <c r="C4" s="9" t="s">
        <v>42</v>
      </c>
      <c r="D4" s="10"/>
      <c r="E4" s="10"/>
      <c r="F4" s="6"/>
      <c r="G4" s="6"/>
      <c r="H4" s="6"/>
    </row>
    <row r="5" spans="2:146" s="12" customFormat="1" ht="25.15" customHeight="1" x14ac:dyDescent="0.25">
      <c r="B5" s="8" t="s">
        <v>3</v>
      </c>
      <c r="C5" s="11">
        <v>45657</v>
      </c>
      <c r="D5" s="10"/>
      <c r="E5" s="10"/>
    </row>
    <row r="6" spans="2:146" s="12" customFormat="1" ht="11.55" customHeight="1" x14ac:dyDescent="0.25">
      <c r="B6" s="10"/>
      <c r="C6" s="10"/>
    </row>
    <row r="7" spans="2:146" ht="21.75" customHeight="1" x14ac:dyDescent="0.25">
      <c r="B7" s="13" t="s">
        <v>4</v>
      </c>
      <c r="C7" s="6"/>
      <c r="D7" s="6"/>
      <c r="E7" s="6"/>
      <c r="F7" s="6"/>
      <c r="G7" s="6"/>
      <c r="H7" s="6"/>
      <c r="I7" s="7"/>
      <c r="J7" s="7"/>
      <c r="K7" s="7"/>
      <c r="L7" s="7"/>
      <c r="M7" s="7"/>
      <c r="N7" s="7"/>
      <c r="O7" s="7"/>
    </row>
    <row r="8" spans="2:146" s="7" customFormat="1" ht="25.15" customHeight="1" x14ac:dyDescent="0.25">
      <c r="B8" s="15"/>
      <c r="C8" s="6"/>
      <c r="D8" s="6"/>
      <c r="E8" s="6"/>
      <c r="F8" s="6"/>
      <c r="G8" s="6"/>
      <c r="H8" s="6"/>
      <c r="P8" s="16"/>
      <c r="Q8" s="16"/>
      <c r="R8" s="16"/>
    </row>
    <row r="9" spans="2:146" s="19" customFormat="1" ht="18" customHeight="1" x14ac:dyDescent="0.25">
      <c r="B9" s="17"/>
      <c r="C9" s="107" t="s">
        <v>5</v>
      </c>
      <c r="D9" s="107"/>
      <c r="E9" s="107"/>
      <c r="F9" s="6"/>
      <c r="G9" s="107" t="s">
        <v>6</v>
      </c>
      <c r="H9" s="107"/>
      <c r="I9" s="107"/>
      <c r="J9" s="107"/>
      <c r="K9" s="18"/>
      <c r="L9" s="108" t="s">
        <v>7</v>
      </c>
      <c r="M9" s="108"/>
      <c r="N9" s="108"/>
      <c r="O9" s="108"/>
      <c r="P9" s="14"/>
      <c r="Q9" s="14"/>
      <c r="R9" s="14"/>
    </row>
    <row r="10" spans="2:146" s="19" customFormat="1" ht="18" customHeight="1" x14ac:dyDescent="0.25">
      <c r="B10" s="20" t="s">
        <v>8</v>
      </c>
      <c r="C10" s="21" t="s">
        <v>9</v>
      </c>
      <c r="D10" s="21" t="s">
        <v>10</v>
      </c>
      <c r="E10" s="21" t="s">
        <v>11</v>
      </c>
      <c r="F10" s="21"/>
      <c r="G10" s="22" t="s">
        <v>12</v>
      </c>
      <c r="H10" s="23" t="s">
        <v>13</v>
      </c>
      <c r="I10" s="23" t="s">
        <v>14</v>
      </c>
      <c r="J10" s="23" t="s">
        <v>15</v>
      </c>
      <c r="K10" s="23"/>
      <c r="L10" s="24" t="s">
        <v>16</v>
      </c>
      <c r="M10" s="24" t="s">
        <v>17</v>
      </c>
      <c r="N10" s="24" t="s">
        <v>18</v>
      </c>
      <c r="O10" s="24" t="s">
        <v>19</v>
      </c>
      <c r="Q10" s="7"/>
      <c r="R10" s="7"/>
    </row>
    <row r="11" spans="2:146" s="19" customFormat="1" ht="18" customHeight="1" x14ac:dyDescent="0.25">
      <c r="B11" s="25" t="s">
        <v>43</v>
      </c>
      <c r="C11" s="26">
        <v>25.56</v>
      </c>
      <c r="D11" s="26">
        <v>17335748660</v>
      </c>
      <c r="E11" s="27">
        <v>16350652660</v>
      </c>
      <c r="F11" s="27"/>
      <c r="G11" s="26">
        <v>3646166000</v>
      </c>
      <c r="H11" s="27">
        <v>179817000</v>
      </c>
      <c r="I11" s="27">
        <v>179817000</v>
      </c>
      <c r="J11" s="27">
        <v>1862106000</v>
      </c>
      <c r="K11" s="27"/>
      <c r="L11" s="27">
        <f>E11/G11</f>
        <v>4.4843412669637095</v>
      </c>
      <c r="M11" s="27">
        <f>E11/H11</f>
        <v>90.929404116407241</v>
      </c>
      <c r="N11" s="27">
        <f>E11/I11</f>
        <v>90.929404116407241</v>
      </c>
      <c r="O11" s="27">
        <f>D11/J11</f>
        <v>9.3097539345235987</v>
      </c>
      <c r="Q11" s="7"/>
      <c r="R11" s="7"/>
    </row>
    <row r="12" spans="2:146" s="19" customFormat="1" ht="18" customHeight="1" x14ac:dyDescent="0.25">
      <c r="B12" s="25" t="s">
        <v>44</v>
      </c>
      <c r="C12" s="26">
        <v>49.073</v>
      </c>
      <c r="D12" s="26">
        <v>24344553660</v>
      </c>
      <c r="E12" s="27">
        <v>23287305660</v>
      </c>
      <c r="F12" s="27"/>
      <c r="G12" s="26">
        <v>2444831000</v>
      </c>
      <c r="H12" s="27">
        <v>514657000</v>
      </c>
      <c r="I12" s="27">
        <v>427167000</v>
      </c>
      <c r="J12" s="27">
        <v>393076000</v>
      </c>
      <c r="K12" s="27"/>
      <c r="L12" s="27">
        <f t="shared" ref="L12:L15" si="0">E12/G12</f>
        <v>9.5251187750809763</v>
      </c>
      <c r="M12" s="27">
        <f t="shared" ref="M12:M15" si="1">E12/H12</f>
        <v>45.248205426138185</v>
      </c>
      <c r="N12" s="27">
        <f t="shared" ref="N12:N15" si="2">E12/I12</f>
        <v>54.515694470780751</v>
      </c>
      <c r="O12" s="27">
        <f t="shared" ref="O12:O15" si="3">D12/J12</f>
        <v>61.933452207715554</v>
      </c>
      <c r="Q12" s="7"/>
      <c r="R12" s="7"/>
    </row>
    <row r="13" spans="2:146" s="19" customFormat="1" ht="18" customHeight="1" x14ac:dyDescent="0.25">
      <c r="B13" s="25" t="s">
        <v>45</v>
      </c>
      <c r="C13" s="26">
        <v>56.33</v>
      </c>
      <c r="D13" s="26">
        <v>37589027589</v>
      </c>
      <c r="E13" s="27">
        <v>38553766589</v>
      </c>
      <c r="F13" s="27"/>
      <c r="G13" s="26">
        <v>3601979000</v>
      </c>
      <c r="H13" s="27">
        <v>-670250000</v>
      </c>
      <c r="I13" s="27">
        <v>-1063317000</v>
      </c>
      <c r="J13" s="27">
        <v>-935384000</v>
      </c>
      <c r="K13" s="27"/>
      <c r="L13" s="27">
        <f t="shared" si="0"/>
        <v>10.703495658636545</v>
      </c>
      <c r="M13" s="27">
        <f t="shared" si="1"/>
        <v>-57.521471971652367</v>
      </c>
      <c r="N13" s="27">
        <f t="shared" si="2"/>
        <v>-36.258017683343724</v>
      </c>
      <c r="O13" s="27">
        <f t="shared" si="3"/>
        <v>-40.185664485387818</v>
      </c>
      <c r="Q13" s="28"/>
      <c r="R13" s="28"/>
    </row>
    <row r="14" spans="2:146" s="19" customFormat="1" ht="18" customHeight="1" x14ac:dyDescent="0.25">
      <c r="B14" s="25" t="s">
        <v>46</v>
      </c>
      <c r="C14" s="26">
        <v>551.04999999999995</v>
      </c>
      <c r="D14" s="26">
        <v>110327525740</v>
      </c>
      <c r="E14" s="27">
        <v>107547525740</v>
      </c>
      <c r="F14" s="27"/>
      <c r="G14" s="26">
        <v>15673000000</v>
      </c>
      <c r="H14" s="27">
        <v>1498000000</v>
      </c>
      <c r="I14" s="27">
        <v>1365000000</v>
      </c>
      <c r="J14" s="27">
        <v>1138000000</v>
      </c>
      <c r="K14" s="27"/>
      <c r="L14" s="27">
        <f t="shared" si="0"/>
        <v>6.8619617010144838</v>
      </c>
      <c r="M14" s="27">
        <f t="shared" si="1"/>
        <v>71.794075927903876</v>
      </c>
      <c r="N14" s="27">
        <f t="shared" si="2"/>
        <v>78.789396146520147</v>
      </c>
      <c r="O14" s="27">
        <f t="shared" si="3"/>
        <v>96.948616643233748</v>
      </c>
      <c r="Q14" s="28"/>
      <c r="R14" s="28"/>
    </row>
    <row r="15" spans="2:146" s="19" customFormat="1" ht="18" customHeight="1" x14ac:dyDescent="0.25">
      <c r="B15" s="25" t="s">
        <v>47</v>
      </c>
      <c r="C15" s="26">
        <v>60.26</v>
      </c>
      <c r="D15" s="26">
        <v>14541625811</v>
      </c>
      <c r="E15" s="27">
        <v>13988625811</v>
      </c>
      <c r="F15" s="27"/>
      <c r="G15" s="26">
        <v>2236000000</v>
      </c>
      <c r="H15" s="27">
        <v>179000000</v>
      </c>
      <c r="I15" s="27">
        <v>-197000000</v>
      </c>
      <c r="J15" s="27">
        <v>-112000000</v>
      </c>
      <c r="K15" s="27"/>
      <c r="L15" s="27">
        <f t="shared" si="0"/>
        <v>6.2560938331842575</v>
      </c>
      <c r="M15" s="27">
        <f t="shared" si="1"/>
        <v>78.148747547486039</v>
      </c>
      <c r="N15" s="27">
        <f t="shared" si="2"/>
        <v>-71.008252847715738</v>
      </c>
      <c r="O15" s="27">
        <f t="shared" si="3"/>
        <v>-129.83594474107142</v>
      </c>
      <c r="Q15" s="28"/>
      <c r="R15" s="28"/>
    </row>
    <row r="16" spans="2:146" s="19" customFormat="1" ht="18" customHeight="1" x14ac:dyDescent="0.25">
      <c r="B16" s="29" t="s">
        <v>25</v>
      </c>
      <c r="C16" s="30"/>
      <c r="D16" s="30"/>
      <c r="E16" s="31"/>
      <c r="F16" s="31"/>
      <c r="G16" s="32"/>
      <c r="H16" s="30"/>
      <c r="I16" s="30"/>
      <c r="J16" s="30"/>
      <c r="K16" s="30"/>
      <c r="L16" s="30">
        <f>AVERAGE(L11:L15)</f>
        <v>7.5662022469759949</v>
      </c>
      <c r="M16" s="30">
        <f>AVERAGE(M11:M15)</f>
        <v>45.719792209256596</v>
      </c>
      <c r="N16" s="30">
        <f>AVERAGE(N11:N15)</f>
        <v>23.393644840529738</v>
      </c>
      <c r="O16" s="30">
        <f>AVERAGE(O11:O15)</f>
        <v>-0.36595728819726786</v>
      </c>
      <c r="Q16" s="28"/>
      <c r="R16" s="28"/>
    </row>
    <row r="17" spans="1:18" s="19" customFormat="1" ht="18" customHeight="1" x14ac:dyDescent="0.25">
      <c r="B17" s="29" t="s">
        <v>26</v>
      </c>
      <c r="C17" s="33"/>
      <c r="D17" s="33"/>
      <c r="E17" s="34"/>
      <c r="F17" s="34"/>
      <c r="G17" s="35"/>
      <c r="H17" s="33"/>
      <c r="I17" s="33"/>
      <c r="J17" s="33"/>
      <c r="K17" s="33"/>
      <c r="L17" s="33">
        <f>MEDIAN(L11:L15)</f>
        <v>6.8619617010144838</v>
      </c>
      <c r="M17" s="33">
        <f>MEDIAN(M11:M15)</f>
        <v>71.794075927903876</v>
      </c>
      <c r="N17" s="33">
        <f>MEDIAN(N11:N15)</f>
        <v>54.515694470780751</v>
      </c>
      <c r="O17" s="33">
        <f>MEDIAN(O11:O15)</f>
        <v>9.3097539345235987</v>
      </c>
      <c r="Q17" s="28"/>
      <c r="R17" s="28"/>
    </row>
    <row r="18" spans="1:18" s="16" customFormat="1" ht="18" customHeight="1" x14ac:dyDescent="0.2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Q18" s="28"/>
      <c r="R18" s="28"/>
    </row>
    <row r="19" spans="1:18" s="19" customFormat="1" ht="18" customHeight="1" x14ac:dyDescent="0.25">
      <c r="B19" s="28"/>
      <c r="C19" s="36"/>
      <c r="D19" s="36"/>
      <c r="E19" s="36"/>
      <c r="I19" s="36"/>
      <c r="J19" s="28"/>
      <c r="K19" s="28"/>
      <c r="L19" s="28"/>
      <c r="M19" s="28"/>
      <c r="N19" s="28"/>
      <c r="O19" s="28"/>
      <c r="Q19" s="28"/>
      <c r="R19" s="28"/>
    </row>
    <row r="20" spans="1:18" s="19" customFormat="1" ht="18" customHeight="1" x14ac:dyDescent="0.25">
      <c r="B20" s="13" t="s">
        <v>27</v>
      </c>
      <c r="C20" s="36"/>
      <c r="D20" s="36"/>
      <c r="E20" s="36"/>
      <c r="I20" s="36"/>
      <c r="J20" s="28"/>
      <c r="K20" s="28"/>
      <c r="L20" s="28"/>
      <c r="M20" s="28"/>
      <c r="N20" s="28"/>
      <c r="O20" s="28"/>
      <c r="Q20" s="28"/>
      <c r="R20" s="28"/>
    </row>
    <row r="21" spans="1:18" s="19" customFormat="1" ht="18" customHeight="1" x14ac:dyDescent="0.25">
      <c r="B21" s="15"/>
      <c r="C21" s="37"/>
      <c r="D21" s="37"/>
      <c r="E21" s="37"/>
      <c r="I21" s="36"/>
      <c r="J21" s="28"/>
      <c r="K21" s="28"/>
      <c r="L21" s="28"/>
      <c r="M21" s="28"/>
      <c r="N21" s="28"/>
      <c r="O21" s="28"/>
      <c r="Q21" s="28"/>
      <c r="R21" s="28"/>
    </row>
    <row r="22" spans="1:18" s="19" customFormat="1" ht="18" customHeight="1" x14ac:dyDescent="0.25">
      <c r="A22" s="28"/>
      <c r="B22" s="17"/>
      <c r="C22" s="28"/>
      <c r="D22" s="28"/>
      <c r="E22" s="28"/>
      <c r="F22" s="16"/>
      <c r="G22" s="16"/>
      <c r="H22" s="16"/>
      <c r="I22" s="36"/>
      <c r="J22" s="28"/>
      <c r="K22" s="28"/>
      <c r="L22" s="28"/>
      <c r="M22" s="28"/>
      <c r="N22" s="28"/>
      <c r="O22" s="28"/>
      <c r="P22" s="28"/>
      <c r="Q22" s="28"/>
      <c r="R22" s="28"/>
    </row>
    <row r="23" spans="1:18" s="19" customFormat="1" ht="18" customHeight="1" x14ac:dyDescent="0.25">
      <c r="A23" s="28"/>
      <c r="B23" s="20" t="s">
        <v>28</v>
      </c>
      <c r="C23" s="20" t="str">
        <f>C4</f>
        <v>Snap Inc</v>
      </c>
      <c r="D23" s="20" t="s">
        <v>29</v>
      </c>
      <c r="E23" s="20" t="s">
        <v>30</v>
      </c>
      <c r="F23" s="14"/>
      <c r="G23" s="14"/>
      <c r="H23" s="14"/>
      <c r="I23" s="14"/>
      <c r="J23" s="28"/>
      <c r="K23" s="28"/>
      <c r="L23" s="28"/>
      <c r="M23" s="28"/>
      <c r="N23" s="28"/>
      <c r="O23" s="28"/>
      <c r="P23" s="28"/>
      <c r="Q23" s="28"/>
      <c r="R23" s="28"/>
    </row>
    <row r="24" spans="1:18" s="19" customFormat="1" ht="18" customHeight="1" x14ac:dyDescent="0.25">
      <c r="A24" s="28"/>
      <c r="B24" s="38" t="s">
        <v>13</v>
      </c>
      <c r="C24" s="39">
        <v>-492600000</v>
      </c>
      <c r="D24" s="40">
        <f>M17</f>
        <v>71.794075927903876</v>
      </c>
      <c r="E24" s="39">
        <f>D24*C24</f>
        <v>-35365761802.085449</v>
      </c>
      <c r="F24" s="7"/>
      <c r="G24" s="7"/>
      <c r="H24" s="7"/>
      <c r="I24" s="14"/>
      <c r="J24" s="14"/>
      <c r="K24" s="14"/>
      <c r="L24" s="14"/>
      <c r="M24" s="14"/>
      <c r="N24" s="14"/>
      <c r="O24" s="14"/>
      <c r="P24" s="28"/>
      <c r="Q24" s="28"/>
      <c r="R24" s="28"/>
    </row>
    <row r="25" spans="1:18" s="16" customFormat="1" ht="18" customHeight="1" x14ac:dyDescent="0.25">
      <c r="A25" s="28"/>
      <c r="B25" s="38" t="s">
        <v>14</v>
      </c>
      <c r="C25" s="39">
        <v>-650674000</v>
      </c>
      <c r="D25" s="40">
        <f>N17</f>
        <v>54.515694470780751</v>
      </c>
      <c r="E25" s="39">
        <f t="shared" ref="E25:E26" si="4">D25*C25</f>
        <v>-35471944984.080795</v>
      </c>
      <c r="F25" s="7"/>
      <c r="G25" s="10"/>
      <c r="H25" s="10"/>
      <c r="I25" s="7"/>
      <c r="J25" s="7"/>
      <c r="K25" s="7"/>
      <c r="L25" s="7"/>
      <c r="M25" s="7"/>
      <c r="N25" s="7"/>
      <c r="O25" s="7"/>
      <c r="P25" s="28"/>
      <c r="Q25" s="28"/>
      <c r="R25" s="28"/>
    </row>
    <row r="26" spans="1:18" ht="14.95" customHeight="1" x14ac:dyDescent="0.25">
      <c r="A26" s="28"/>
      <c r="B26" s="38" t="s">
        <v>31</v>
      </c>
      <c r="C26" s="39">
        <v>-697856000</v>
      </c>
      <c r="D26" s="40">
        <f>O17</f>
        <v>9.3097539345235987</v>
      </c>
      <c r="E26" s="39">
        <f t="shared" si="4"/>
        <v>-6496867641.7309008</v>
      </c>
      <c r="F26" s="7"/>
      <c r="G26" s="10"/>
      <c r="H26" s="10"/>
      <c r="I26" s="7"/>
      <c r="J26" s="7"/>
      <c r="K26" s="7"/>
      <c r="L26" s="7"/>
      <c r="M26" s="7"/>
      <c r="N26" s="7"/>
      <c r="O26" s="7"/>
      <c r="P26" s="28"/>
      <c r="Q26" s="28"/>
      <c r="R26" s="28"/>
    </row>
    <row r="27" spans="1:18" s="7" customFormat="1" ht="25.15" customHeight="1" outlineLevel="1" x14ac:dyDescent="0.25">
      <c r="A27" s="14"/>
      <c r="F27" s="28"/>
      <c r="G27" s="10"/>
      <c r="H27" s="10"/>
      <c r="I27" s="41"/>
      <c r="J27" s="41"/>
      <c r="K27" s="41"/>
      <c r="L27" s="41"/>
      <c r="M27" s="41"/>
      <c r="N27" s="41"/>
      <c r="O27" s="41"/>
      <c r="P27" s="14"/>
      <c r="Q27" s="14"/>
      <c r="R27" s="14"/>
    </row>
    <row r="28" spans="1:18" s="7" customFormat="1" ht="25.15" customHeight="1" outlineLevel="1" x14ac:dyDescent="0.25">
      <c r="B28" s="42" t="s">
        <v>32</v>
      </c>
      <c r="C28" s="43"/>
      <c r="D28" s="41"/>
      <c r="E28" s="41"/>
      <c r="F28" s="28"/>
      <c r="G28" s="41"/>
      <c r="H28" s="41"/>
      <c r="I28" s="41"/>
      <c r="J28" s="41"/>
      <c r="K28" s="41"/>
      <c r="L28" s="41"/>
      <c r="M28" s="41"/>
      <c r="N28" s="41"/>
      <c r="O28" s="41"/>
    </row>
    <row r="29" spans="1:18" s="7" customFormat="1" ht="18" customHeight="1" outlineLevel="1" x14ac:dyDescent="0.25">
      <c r="B29" s="44" t="s">
        <v>33</v>
      </c>
      <c r="C29" s="45">
        <f>E26</f>
        <v>-6496867641.7309008</v>
      </c>
      <c r="D29" s="41"/>
      <c r="E29" s="41"/>
      <c r="F29" s="28"/>
      <c r="G29" s="41"/>
      <c r="H29" s="41"/>
      <c r="I29" s="41"/>
      <c r="J29" s="41"/>
      <c r="K29" s="41"/>
      <c r="L29" s="41"/>
      <c r="M29" s="41"/>
      <c r="N29" s="41"/>
      <c r="O29" s="41"/>
    </row>
    <row r="30" spans="1:18" s="28" customFormat="1" ht="19.7" customHeight="1" outlineLevel="1" x14ac:dyDescent="0.25">
      <c r="A30" s="46"/>
      <c r="B30" s="44" t="s">
        <v>34</v>
      </c>
      <c r="C30" s="45">
        <v>1659147000</v>
      </c>
      <c r="D30" s="41"/>
      <c r="E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</row>
    <row r="31" spans="1:18" s="28" customFormat="1" ht="18" customHeight="1" outlineLevel="1" x14ac:dyDescent="0.25">
      <c r="A31" s="46"/>
      <c r="B31" s="47" t="s">
        <v>35</v>
      </c>
      <c r="C31" s="48">
        <f>C29/C30</f>
        <v>-3.9157878365997112</v>
      </c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</row>
    <row r="32" spans="1:18" s="28" customFormat="1" ht="18" customHeight="1" outlineLevel="1" x14ac:dyDescent="0.25">
      <c r="A32" s="46"/>
      <c r="B32" s="44" t="s">
        <v>36</v>
      </c>
      <c r="C32" s="49">
        <v>8.82</v>
      </c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</row>
    <row r="33" spans="1:18" s="28" customFormat="1" ht="57.1" customHeight="1" outlineLevel="1" x14ac:dyDescent="0.25">
      <c r="A33" s="46"/>
      <c r="B33" s="109" t="str">
        <f>IF(C31 &lt; 0, C4 &amp; "’s financial performance does not support its current market valuation when benchmarked purely on earnings-based valuation models.",
 IF(C31 &gt; C32, C4 &amp; " is undervalued by ~" &amp; TEXT((C31/C32 - 1)*100, "0") &amp; "% relative to its peer-based implied valuation.",
 C4 &amp; " is overvalued by ~" &amp; TEXT((1 - C31/C32)*100, "0") &amp; "% relative to its peer-based implied valuation."))</f>
        <v>Snap Inc’s financial performance does not support its current market valuation when benchmarked purely on earnings-based valuation models.</v>
      </c>
      <c r="C33" s="109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</row>
    <row r="34" spans="1:18" s="28" customFormat="1" ht="18" customHeight="1" outlineLevel="1" x14ac:dyDescent="0.25">
      <c r="B34" s="50"/>
      <c r="C34" s="50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</row>
    <row r="35" spans="1:18" s="28" customFormat="1" ht="18" customHeight="1" outlineLevel="1" x14ac:dyDescent="0.25">
      <c r="B35" s="50"/>
      <c r="C35" s="50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1:18" s="28" customFormat="1" ht="18" customHeight="1" outlineLevel="1" x14ac:dyDescent="0.25"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</row>
    <row r="37" spans="1:18" s="28" customFormat="1" ht="18" customHeight="1" outlineLevel="1" x14ac:dyDescent="0.25"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</row>
    <row r="38" spans="1:18" s="28" customFormat="1" ht="18" customHeight="1" outlineLevel="1" x14ac:dyDescent="0.25">
      <c r="P38" s="41"/>
      <c r="Q38" s="41"/>
      <c r="R38" s="41"/>
    </row>
    <row r="39" spans="1:18" s="28" customFormat="1" ht="18" customHeight="1" outlineLevel="1" x14ac:dyDescent="0.25">
      <c r="P39" s="41"/>
      <c r="Q39" s="41"/>
      <c r="R39" s="41"/>
    </row>
    <row r="40" spans="1:18" s="28" customFormat="1" ht="18" customHeight="1" outlineLevel="1" x14ac:dyDescent="0.25">
      <c r="P40" s="41"/>
      <c r="Q40" s="41"/>
      <c r="R40" s="41"/>
    </row>
    <row r="41" spans="1:18" s="28" customFormat="1" ht="18" customHeight="1" outlineLevel="1" x14ac:dyDescent="0.25">
      <c r="B41" s="46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</row>
    <row r="42" spans="1:18" s="28" customFormat="1" ht="45" customHeight="1" outlineLevel="1" x14ac:dyDescent="0.25">
      <c r="B42" s="46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</row>
    <row r="43" spans="1:18" s="28" customFormat="1" ht="18" customHeight="1" outlineLevel="1" x14ac:dyDescent="0.25">
      <c r="B43" s="10"/>
      <c r="C43" s="10"/>
      <c r="D43" s="10"/>
      <c r="E43" s="10"/>
      <c r="F43" s="10"/>
      <c r="G43" s="10"/>
      <c r="H43" s="10"/>
    </row>
    <row r="44" spans="1:18" ht="14.95" customHeight="1" x14ac:dyDescent="0.25">
      <c r="B44" s="10"/>
      <c r="C44" s="10"/>
      <c r="D44" s="10"/>
      <c r="E44" s="10"/>
      <c r="F44" s="10"/>
      <c r="G44" s="10"/>
      <c r="H44" s="10"/>
    </row>
    <row r="45" spans="1:18" s="7" customFormat="1" ht="25.15" customHeight="1" outlineLevel="1" x14ac:dyDescent="0.25">
      <c r="B45" s="10"/>
      <c r="C45" s="10"/>
      <c r="D45" s="10"/>
      <c r="E45" s="10"/>
      <c r="F45" s="10"/>
      <c r="G45" s="10"/>
      <c r="H45" s="10"/>
    </row>
    <row r="46" spans="1:18" s="7" customFormat="1" ht="18" customHeight="1" outlineLevel="1" x14ac:dyDescent="0.25">
      <c r="B46" s="10"/>
      <c r="C46" s="10"/>
      <c r="D46" s="10"/>
      <c r="E46" s="10"/>
      <c r="F46" s="10"/>
      <c r="G46" s="10"/>
      <c r="H46" s="10"/>
    </row>
    <row r="47" spans="1:18" s="41" customFormat="1" ht="18" customHeight="1" outlineLevel="1" x14ac:dyDescent="0.25">
      <c r="B47" s="10"/>
      <c r="C47" s="10"/>
      <c r="D47" s="10"/>
      <c r="E47" s="10"/>
      <c r="F47" s="10"/>
      <c r="G47" s="10"/>
      <c r="H47" s="10"/>
    </row>
    <row r="48" spans="1:18" s="41" customFormat="1" ht="18" customHeight="1" outlineLevel="1" x14ac:dyDescent="0.25">
      <c r="B48" s="10"/>
      <c r="C48" s="10"/>
      <c r="D48" s="10"/>
      <c r="E48" s="10"/>
      <c r="F48" s="10"/>
      <c r="G48" s="10"/>
      <c r="H48" s="10"/>
    </row>
    <row r="49" spans="2:12" s="41" customFormat="1" ht="18" customHeight="1" outlineLevel="1" x14ac:dyDescent="0.25">
      <c r="B49" s="10"/>
      <c r="C49" s="10"/>
      <c r="D49" s="10"/>
      <c r="E49" s="10"/>
      <c r="F49" s="10"/>
      <c r="G49" s="10"/>
      <c r="H49" s="10"/>
    </row>
    <row r="50" spans="2:12" s="41" customFormat="1" ht="18" customHeight="1" outlineLevel="1" x14ac:dyDescent="0.25">
      <c r="B50" s="10"/>
      <c r="C50" s="10"/>
      <c r="D50" s="10"/>
      <c r="E50" s="10"/>
      <c r="F50" s="10"/>
      <c r="G50" s="10"/>
      <c r="H50" s="10"/>
    </row>
    <row r="51" spans="2:12" s="41" customFormat="1" ht="18" customHeight="1" outlineLevel="1" x14ac:dyDescent="0.25">
      <c r="B51" s="10"/>
      <c r="C51" s="10"/>
      <c r="D51" s="10"/>
      <c r="E51" s="10"/>
      <c r="F51" s="10"/>
      <c r="G51" s="10"/>
      <c r="H51" s="10"/>
    </row>
    <row r="52" spans="2:12" s="41" customFormat="1" ht="18" customHeight="1" outlineLevel="1" x14ac:dyDescent="0.25">
      <c r="B52" s="10"/>
      <c r="C52" s="10"/>
      <c r="D52" s="10"/>
      <c r="E52" s="10"/>
      <c r="F52" s="10"/>
      <c r="G52" s="10"/>
      <c r="H52" s="10"/>
    </row>
    <row r="53" spans="2:12" s="41" customFormat="1" ht="18" customHeight="1" outlineLevel="1" x14ac:dyDescent="0.25">
      <c r="B53" s="10"/>
      <c r="C53" s="10"/>
      <c r="D53" s="10"/>
      <c r="E53" s="10"/>
      <c r="F53" s="10"/>
      <c r="G53" s="10"/>
      <c r="H53" s="10"/>
    </row>
    <row r="54" spans="2:12" s="41" customFormat="1" ht="18" customHeight="1" outlineLevel="1" x14ac:dyDescent="0.25">
      <c r="B54" s="10"/>
      <c r="C54" s="10"/>
      <c r="D54" s="10"/>
      <c r="E54" s="10"/>
      <c r="F54" s="10"/>
      <c r="G54" s="10"/>
      <c r="H54" s="10"/>
    </row>
    <row r="55" spans="2:12" s="41" customFormat="1" ht="18" customHeight="1" outlineLevel="1" x14ac:dyDescent="0.25">
      <c r="B55" s="10"/>
      <c r="C55" s="10"/>
      <c r="D55" s="10"/>
      <c r="E55" s="10"/>
      <c r="F55" s="10"/>
      <c r="G55" s="10"/>
      <c r="H55" s="10"/>
    </row>
    <row r="56" spans="2:12" s="41" customFormat="1" ht="18" customHeight="1" outlineLevel="1" x14ac:dyDescent="0.25">
      <c r="B56" s="10"/>
      <c r="C56" s="10"/>
      <c r="D56" s="10"/>
      <c r="E56" s="10"/>
      <c r="F56" s="10"/>
      <c r="G56" s="10"/>
      <c r="H56" s="10"/>
    </row>
    <row r="57" spans="2:12" s="41" customFormat="1" ht="18" customHeight="1" outlineLevel="1" x14ac:dyDescent="0.25">
      <c r="B57" s="10"/>
      <c r="C57" s="10"/>
      <c r="D57" s="10"/>
      <c r="E57" s="10"/>
      <c r="F57" s="10"/>
      <c r="G57" s="10"/>
      <c r="H57" s="10"/>
    </row>
    <row r="58" spans="2:12" s="41" customFormat="1" ht="18" customHeight="1" outlineLevel="1" x14ac:dyDescent="0.25">
      <c r="B58" s="10"/>
      <c r="C58" s="10"/>
      <c r="D58" s="10"/>
      <c r="E58" s="10"/>
      <c r="F58" s="10"/>
      <c r="G58" s="10"/>
      <c r="H58" s="10"/>
    </row>
    <row r="59" spans="2:12" s="41" customFormat="1" ht="18" customHeight="1" outlineLevel="1" x14ac:dyDescent="0.25">
      <c r="B59" s="10"/>
      <c r="C59" s="10"/>
      <c r="D59" s="10"/>
      <c r="E59" s="10"/>
      <c r="F59" s="10"/>
      <c r="G59" s="10"/>
      <c r="H59" s="10"/>
    </row>
    <row r="60" spans="2:12" s="41" customFormat="1" ht="18" customHeight="1" outlineLevel="1" x14ac:dyDescent="0.25">
      <c r="B60" s="10"/>
      <c r="C60" s="10"/>
      <c r="D60" s="10"/>
      <c r="E60" s="10"/>
      <c r="F60" s="10"/>
      <c r="G60" s="10"/>
      <c r="H60" s="10"/>
      <c r="I60" s="46"/>
    </row>
    <row r="61" spans="2:12" s="41" customFormat="1" ht="18" customHeight="1" outlineLevel="1" x14ac:dyDescent="0.25">
      <c r="B61" s="10"/>
      <c r="C61" s="10"/>
      <c r="D61" s="10"/>
      <c r="E61" s="10"/>
      <c r="F61" s="10"/>
      <c r="G61" s="10"/>
      <c r="H61" s="10"/>
      <c r="I61" s="46"/>
    </row>
    <row r="62" spans="2:12" s="19" customFormat="1" ht="12.1" customHeight="1" outlineLevel="1" x14ac:dyDescent="0.25">
      <c r="B62" s="10"/>
      <c r="C62" s="10"/>
      <c r="D62" s="10"/>
      <c r="E62" s="10"/>
      <c r="F62" s="10"/>
      <c r="G62" s="10"/>
      <c r="H62" s="10"/>
      <c r="I62" s="52"/>
      <c r="J62" s="52"/>
      <c r="K62" s="52"/>
      <c r="L62" s="53"/>
    </row>
    <row r="63" spans="2:12" s="7" customFormat="1" ht="25.15" customHeight="1" outlineLevel="1" x14ac:dyDescent="0.25">
      <c r="B63" s="10"/>
      <c r="C63" s="10"/>
      <c r="D63" s="10"/>
      <c r="E63" s="10"/>
      <c r="F63" s="10"/>
      <c r="G63" s="10"/>
      <c r="H63" s="10"/>
    </row>
    <row r="64" spans="2:12" s="19" customFormat="1" ht="12.1" customHeight="1" outlineLevel="1" x14ac:dyDescent="0.25">
      <c r="B64" s="10"/>
      <c r="C64" s="10"/>
      <c r="D64" s="10"/>
      <c r="E64" s="10"/>
      <c r="F64" s="10"/>
      <c r="G64" s="10"/>
      <c r="H64" s="10"/>
      <c r="I64" s="52"/>
      <c r="J64" s="52"/>
      <c r="K64" s="52"/>
      <c r="L64" s="53"/>
    </row>
    <row r="65" spans="2:19" s="19" customFormat="1" ht="18" customHeight="1" x14ac:dyDescent="0.25">
      <c r="B65" s="10"/>
      <c r="C65" s="10"/>
      <c r="D65" s="10"/>
      <c r="E65" s="10"/>
      <c r="F65" s="10"/>
      <c r="G65" s="10"/>
      <c r="H65" s="10"/>
      <c r="I65" s="54" t="e">
        <f>#REF!+#REF!</f>
        <v>#REF!</v>
      </c>
      <c r="J65" s="55" t="e">
        <f>#REF!+#REF!</f>
        <v>#REF!</v>
      </c>
      <c r="K65" s="54"/>
      <c r="L65" s="56" t="e">
        <f>(J65/F65)^(1/4)-1</f>
        <v>#REF!</v>
      </c>
    </row>
    <row r="66" spans="2:19" s="19" customFormat="1" ht="18" customHeight="1" x14ac:dyDescent="0.25">
      <c r="B66" s="10"/>
      <c r="C66" s="10"/>
      <c r="D66" s="10"/>
      <c r="E66" s="10"/>
      <c r="F66" s="10"/>
      <c r="G66" s="10"/>
      <c r="H66" s="10"/>
      <c r="I66" s="57" t="e">
        <f>SNAP_CCA!$C$59*-I65</f>
        <v>#REF!</v>
      </c>
      <c r="J66" s="58" t="e">
        <f>SNAP_CCA!$C$59*-J65</f>
        <v>#REF!</v>
      </c>
      <c r="K66" s="57"/>
      <c r="L66" s="59" t="str">
        <f>IFERROR((J66/F66)^(1/4)-1,"N/A")</f>
        <v>N/A</v>
      </c>
    </row>
    <row r="67" spans="2:19" s="19" customFormat="1" ht="18" customHeight="1" x14ac:dyDescent="0.25">
      <c r="B67" s="10"/>
      <c r="C67" s="10"/>
      <c r="D67" s="10"/>
      <c r="E67" s="10"/>
      <c r="F67" s="10"/>
      <c r="G67" s="10"/>
      <c r="H67" s="10"/>
      <c r="I67" s="57" t="e">
        <f>-(I68*#REF!)</f>
        <v>#REF!</v>
      </c>
      <c r="J67" s="58" t="e">
        <f>-(J68*#REF!)</f>
        <v>#REF!</v>
      </c>
      <c r="K67" s="57"/>
      <c r="L67" s="60" t="str">
        <f>IFERROR((J67/F67)^(1/4)-1,"n.a.")</f>
        <v>n.a.</v>
      </c>
      <c r="O67" s="105"/>
      <c r="P67" s="106"/>
      <c r="Q67" s="106"/>
      <c r="R67" s="106"/>
      <c r="S67" s="106"/>
    </row>
    <row r="68" spans="2:19" s="19" customFormat="1" ht="18" customHeight="1" x14ac:dyDescent="0.25">
      <c r="B68" s="10"/>
      <c r="C68" s="10"/>
      <c r="D68" s="10"/>
      <c r="E68" s="10"/>
      <c r="F68" s="10"/>
      <c r="G68" s="10"/>
      <c r="H68" s="10"/>
      <c r="I68" s="61">
        <f>H68</f>
        <v>0</v>
      </c>
      <c r="J68" s="62">
        <f>I68</f>
        <v>0</v>
      </c>
      <c r="K68" s="61"/>
      <c r="L68" s="63"/>
      <c r="M68" s="64"/>
      <c r="N68" s="64"/>
      <c r="O68" s="65"/>
      <c r="P68" s="65"/>
      <c r="Q68" s="65"/>
      <c r="R68" s="65"/>
      <c r="S68" s="65"/>
    </row>
    <row r="69" spans="2:19" s="19" customFormat="1" ht="18" customHeight="1" x14ac:dyDescent="0.25">
      <c r="B69" s="10"/>
      <c r="C69" s="10"/>
      <c r="D69" s="10"/>
      <c r="E69" s="10"/>
      <c r="F69" s="10"/>
      <c r="G69" s="10"/>
      <c r="H69" s="10"/>
      <c r="I69" s="57" t="e">
        <f>I70*#REF!</f>
        <v>#REF!</v>
      </c>
      <c r="J69" s="58" t="e">
        <f>J70*#REF!</f>
        <v>#REF!</v>
      </c>
      <c r="K69" s="57"/>
      <c r="L69" s="60"/>
    </row>
    <row r="70" spans="2:19" s="19" customFormat="1" ht="18" customHeight="1" x14ac:dyDescent="0.25">
      <c r="B70" s="10"/>
      <c r="C70" s="10"/>
      <c r="D70" s="10"/>
      <c r="E70" s="10"/>
      <c r="F70" s="10"/>
      <c r="G70" s="10"/>
      <c r="H70" s="10"/>
      <c r="I70" s="61">
        <f>H70</f>
        <v>0</v>
      </c>
      <c r="J70" s="62">
        <f>I70</f>
        <v>0</v>
      </c>
      <c r="K70" s="61"/>
      <c r="L70" s="60"/>
    </row>
    <row r="71" spans="2:19" s="19" customFormat="1" ht="18" customHeight="1" x14ac:dyDescent="0.25">
      <c r="B71" s="10"/>
      <c r="C71" s="10"/>
      <c r="D71" s="10"/>
      <c r="E71" s="10"/>
      <c r="F71" s="10"/>
      <c r="G71" s="10"/>
      <c r="H71" s="10"/>
      <c r="I71" s="57" t="e">
        <f>H69-I69</f>
        <v>#REF!</v>
      </c>
      <c r="J71" s="58" t="e">
        <f>I69-J69</f>
        <v>#REF!</v>
      </c>
      <c r="K71" s="57"/>
      <c r="L71" s="66"/>
      <c r="M71" s="67"/>
      <c r="N71" s="65"/>
      <c r="O71" s="68"/>
      <c r="P71" s="68"/>
      <c r="Q71" s="68"/>
      <c r="R71" s="68"/>
      <c r="S71" s="68"/>
    </row>
    <row r="72" spans="2:19" s="19" customFormat="1" ht="18" customHeight="1" x14ac:dyDescent="0.25">
      <c r="B72" s="10"/>
      <c r="C72" s="10"/>
      <c r="D72" s="10"/>
      <c r="E72" s="10"/>
      <c r="F72" s="10"/>
      <c r="G72" s="10"/>
      <c r="H72" s="10"/>
      <c r="I72" s="54" t="e">
        <f>#REF!+I66+I67+I71</f>
        <v>#REF!</v>
      </c>
      <c r="J72" s="55" t="e">
        <f>#REF!+J66+J67+J71</f>
        <v>#REF!</v>
      </c>
      <c r="K72" s="54"/>
      <c r="L72" s="69"/>
      <c r="M72" s="67"/>
      <c r="N72" s="65"/>
      <c r="O72" s="68"/>
      <c r="P72" s="68"/>
      <c r="Q72" s="68"/>
      <c r="R72" s="68"/>
      <c r="S72" s="68"/>
    </row>
    <row r="73" spans="2:19" s="19" customFormat="1" ht="18" customHeight="1" x14ac:dyDescent="0.25">
      <c r="B73" s="10"/>
      <c r="C73" s="10"/>
      <c r="D73" s="10"/>
      <c r="E73" s="10"/>
      <c r="F73" s="10"/>
      <c r="G73" s="10"/>
      <c r="H73" s="10"/>
      <c r="I73" s="70">
        <f>WACC</f>
        <v>0</v>
      </c>
      <c r="J73" s="71">
        <f>WACC</f>
        <v>0</v>
      </c>
      <c r="K73" s="70"/>
      <c r="L73" s="60"/>
    </row>
    <row r="74" spans="2:19" s="19" customFormat="1" ht="18" customHeight="1" x14ac:dyDescent="0.25">
      <c r="B74" s="10"/>
      <c r="C74" s="10"/>
      <c r="D74" s="10"/>
      <c r="E74" s="10"/>
      <c r="F74" s="10"/>
      <c r="G74" s="10"/>
      <c r="H74" s="10"/>
      <c r="I74" s="72">
        <f>H74+1</f>
        <v>1</v>
      </c>
      <c r="J74" s="73">
        <f>I74+1</f>
        <v>2</v>
      </c>
      <c r="K74" s="72"/>
      <c r="L74" s="60"/>
    </row>
    <row r="75" spans="2:19" s="19" customFormat="1" ht="18" customHeight="1" x14ac:dyDescent="0.25">
      <c r="B75" s="10"/>
      <c r="C75" s="10"/>
      <c r="D75" s="10"/>
      <c r="E75" s="10"/>
      <c r="F75" s="10"/>
      <c r="G75" s="10"/>
      <c r="H75" s="10"/>
      <c r="I75" s="74">
        <f>1/((1+I73)^I74)</f>
        <v>1</v>
      </c>
      <c r="J75" s="75">
        <f>1/((1+J73)^J74)</f>
        <v>1</v>
      </c>
      <c r="K75" s="74"/>
      <c r="L75" s="60"/>
    </row>
    <row r="76" spans="2:19" s="19" customFormat="1" ht="18" customHeight="1" thickBot="1" x14ac:dyDescent="0.3">
      <c r="B76" s="10"/>
      <c r="C76" s="10"/>
      <c r="D76" s="10"/>
      <c r="E76" s="10"/>
      <c r="F76" s="10"/>
      <c r="G76" s="10"/>
      <c r="H76" s="10"/>
      <c r="I76" s="76" t="e">
        <f>I75*I72</f>
        <v>#REF!</v>
      </c>
      <c r="J76" s="77" t="e">
        <f>J75*J72</f>
        <v>#REF!</v>
      </c>
      <c r="K76" s="76"/>
      <c r="L76" s="78"/>
      <c r="M76" s="67"/>
      <c r="N76" s="65"/>
      <c r="O76" s="68"/>
      <c r="P76" s="68"/>
      <c r="Q76" s="68"/>
      <c r="R76" s="68"/>
      <c r="S76" s="68"/>
    </row>
    <row r="77" spans="2:19" s="19" customFormat="1" ht="18" customHeight="1" thickTop="1" x14ac:dyDescent="0.25">
      <c r="B77" s="10"/>
      <c r="C77" s="10"/>
      <c r="D77" s="10"/>
      <c r="E77" s="10"/>
      <c r="F77" s="10"/>
      <c r="G77" s="10"/>
      <c r="H77" s="10"/>
      <c r="I77" s="52"/>
      <c r="J77" s="52"/>
      <c r="K77" s="52"/>
      <c r="L77" s="53"/>
    </row>
    <row r="78" spans="2:19" s="19" customFormat="1" ht="18" customHeight="1" x14ac:dyDescent="0.25">
      <c r="B78" s="10"/>
      <c r="C78" s="10"/>
      <c r="D78" s="10"/>
      <c r="E78" s="10"/>
      <c r="F78" s="10"/>
      <c r="G78" s="10"/>
      <c r="H78" s="10"/>
      <c r="I78" s="79" t="e">
        <f>#REF!</f>
        <v>#REF!</v>
      </c>
      <c r="J78" s="79" t="e">
        <f>#REF!</f>
        <v>#REF!</v>
      </c>
      <c r="K78" s="79"/>
      <c r="L78" s="53"/>
    </row>
    <row r="79" spans="2:19" s="19" customFormat="1" ht="18" customHeight="1" x14ac:dyDescent="0.25">
      <c r="B79" s="10"/>
      <c r="C79" s="10"/>
      <c r="D79" s="10"/>
      <c r="E79" s="10"/>
      <c r="F79" s="10"/>
      <c r="G79" s="10"/>
      <c r="H79" s="10"/>
      <c r="I79" s="80" t="e">
        <f>EV/#REF!</f>
        <v>#REF!</v>
      </c>
      <c r="J79" s="80" t="e">
        <f>EV/#REF!</f>
        <v>#REF!</v>
      </c>
      <c r="K79" s="81"/>
      <c r="L79" s="53"/>
    </row>
    <row r="80" spans="2:19" s="19" customFormat="1" ht="18" customHeight="1" outlineLevel="1" x14ac:dyDescent="0.25">
      <c r="B80" s="10"/>
      <c r="C80" s="10"/>
      <c r="D80" s="10"/>
      <c r="E80" s="10"/>
      <c r="F80" s="10"/>
      <c r="G80" s="10"/>
      <c r="H80" s="10"/>
      <c r="I80" s="81"/>
      <c r="J80" s="81"/>
      <c r="K80" s="81"/>
      <c r="L80" s="53"/>
    </row>
    <row r="81" spans="2:19" s="19" customFormat="1" ht="18" customHeight="1" outlineLevel="1" x14ac:dyDescent="0.25">
      <c r="B81" s="10"/>
      <c r="C81" s="10"/>
      <c r="D81" s="10"/>
      <c r="E81" s="10"/>
      <c r="F81" s="10"/>
      <c r="G81" s="10"/>
      <c r="H81" s="10"/>
      <c r="I81" s="81"/>
      <c r="J81" s="81"/>
      <c r="K81" s="81"/>
      <c r="L81" s="53"/>
    </row>
    <row r="82" spans="2:19" s="19" customFormat="1" ht="18" customHeight="1" outlineLevel="1" x14ac:dyDescent="0.25">
      <c r="B82" s="10"/>
      <c r="C82" s="10"/>
      <c r="D82" s="10"/>
      <c r="E82" s="10"/>
      <c r="F82" s="10"/>
      <c r="G82" s="10"/>
      <c r="H82" s="10"/>
      <c r="I82" s="82"/>
      <c r="J82" s="82"/>
      <c r="K82" s="82"/>
      <c r="L82" s="53"/>
    </row>
    <row r="83" spans="2:19" s="19" customFormat="1" ht="18" customHeight="1" x14ac:dyDescent="0.25">
      <c r="B83" s="10"/>
      <c r="C83" s="10"/>
      <c r="D83" s="10"/>
      <c r="E83" s="10"/>
      <c r="F83" s="10"/>
      <c r="G83" s="10"/>
      <c r="H83" s="10"/>
      <c r="I83" s="81" t="e">
        <f>EV/#REF!</f>
        <v>#REF!</v>
      </c>
      <c r="J83" s="81" t="e">
        <f>EV/#REF!</f>
        <v>#REF!</v>
      </c>
      <c r="K83" s="81"/>
      <c r="L83" s="53"/>
    </row>
    <row r="84" spans="2:19" s="19" customFormat="1" ht="18" customHeight="1" outlineLevel="1" x14ac:dyDescent="0.25">
      <c r="B84" s="10"/>
      <c r="C84" s="10"/>
      <c r="D84" s="10"/>
      <c r="E84" s="10"/>
      <c r="F84" s="10"/>
      <c r="G84" s="10"/>
      <c r="H84" s="10"/>
      <c r="I84" s="82"/>
      <c r="J84" s="82"/>
      <c r="K84" s="82"/>
      <c r="L84" s="53"/>
    </row>
    <row r="85" spans="2:19" s="19" customFormat="1" ht="18" customHeight="1" x14ac:dyDescent="0.25">
      <c r="B85" s="10"/>
      <c r="C85" s="10"/>
      <c r="D85" s="10"/>
      <c r="E85" s="10"/>
      <c r="F85" s="10"/>
      <c r="G85" s="10"/>
      <c r="H85" s="10"/>
      <c r="I85" s="83" t="e">
        <f>EV/H65</f>
        <v>#DIV/0!</v>
      </c>
      <c r="J85" s="83" t="e">
        <f>EV/I65</f>
        <v>#REF!</v>
      </c>
      <c r="K85" s="81"/>
      <c r="L85" s="53"/>
    </row>
    <row r="86" spans="2:19" s="19" customFormat="1" ht="18" customHeight="1" x14ac:dyDescent="0.25">
      <c r="B86" s="10"/>
      <c r="C86" s="10"/>
      <c r="D86" s="10"/>
      <c r="E86" s="10"/>
      <c r="F86" s="10"/>
      <c r="G86" s="10"/>
      <c r="H86" s="10"/>
      <c r="I86" s="84"/>
      <c r="J86" s="84"/>
      <c r="K86" s="84"/>
      <c r="L86" s="53"/>
    </row>
    <row r="87" spans="2:19" s="19" customFormat="1" ht="18" customHeight="1" x14ac:dyDescent="0.25">
      <c r="B87" s="10"/>
      <c r="C87" s="10"/>
      <c r="D87" s="10"/>
      <c r="E87" s="10"/>
      <c r="F87" s="10"/>
      <c r="G87" s="10"/>
      <c r="H87" s="10"/>
      <c r="L87" s="53"/>
    </row>
    <row r="88" spans="2:19" s="19" customFormat="1" ht="18" customHeight="1" x14ac:dyDescent="0.25">
      <c r="B88" s="10"/>
      <c r="C88" s="10"/>
      <c r="D88" s="10"/>
      <c r="E88" s="10"/>
      <c r="F88" s="10"/>
      <c r="G88" s="10"/>
      <c r="H88" s="10"/>
      <c r="L88" s="85"/>
    </row>
    <row r="89" spans="2:19" s="19" customFormat="1" ht="18" customHeight="1" x14ac:dyDescent="0.25">
      <c r="B89" s="10"/>
      <c r="C89" s="10"/>
      <c r="D89" s="10"/>
      <c r="E89" s="10"/>
      <c r="F89" s="10"/>
      <c r="G89" s="10"/>
      <c r="H89" s="10"/>
      <c r="L89" s="53"/>
      <c r="M89" s="110"/>
      <c r="N89" s="106"/>
      <c r="O89" s="106"/>
      <c r="P89" s="106"/>
      <c r="Q89" s="106"/>
      <c r="R89" s="106"/>
      <c r="S89" s="106"/>
    </row>
    <row r="90" spans="2:19" s="19" customFormat="1" ht="18" customHeight="1" x14ac:dyDescent="0.25">
      <c r="B90" s="10"/>
      <c r="C90" s="10"/>
      <c r="D90" s="10"/>
      <c r="E90" s="10"/>
      <c r="F90" s="10"/>
      <c r="G90" s="10"/>
      <c r="H90" s="10"/>
      <c r="L90" s="53"/>
      <c r="O90" s="110"/>
      <c r="P90" s="106"/>
      <c r="Q90" s="106"/>
      <c r="R90" s="106"/>
      <c r="S90" s="106"/>
    </row>
    <row r="91" spans="2:19" s="19" customFormat="1" ht="18" customHeight="1" x14ac:dyDescent="0.25">
      <c r="B91" s="10"/>
      <c r="C91" s="10"/>
      <c r="D91" s="10"/>
      <c r="E91" s="10"/>
      <c r="F91" s="10"/>
      <c r="G91" s="10"/>
      <c r="H91" s="10"/>
      <c r="L91" s="53"/>
      <c r="M91" s="86"/>
      <c r="N91" s="87"/>
      <c r="O91" s="88"/>
      <c r="P91" s="88"/>
      <c r="Q91" s="89"/>
      <c r="R91" s="88"/>
      <c r="S91" s="88"/>
    </row>
    <row r="92" spans="2:19" s="19" customFormat="1" ht="18" customHeight="1" x14ac:dyDescent="0.25">
      <c r="B92" s="10"/>
      <c r="C92" s="10"/>
      <c r="D92" s="10"/>
      <c r="E92" s="10"/>
      <c r="F92" s="10"/>
      <c r="G92" s="10"/>
      <c r="H92" s="10"/>
      <c r="L92" s="53"/>
      <c r="M92" s="90"/>
      <c r="N92" s="88"/>
      <c r="O92" s="91"/>
      <c r="P92" s="91"/>
      <c r="Q92" s="91"/>
      <c r="R92" s="91"/>
      <c r="S92" s="91"/>
    </row>
    <row r="93" spans="2:19" s="19" customFormat="1" ht="18" customHeight="1" x14ac:dyDescent="0.25">
      <c r="B93" s="10"/>
      <c r="C93" s="10"/>
      <c r="D93" s="10"/>
      <c r="E93" s="10"/>
      <c r="F93" s="10"/>
      <c r="G93" s="10"/>
      <c r="H93" s="10"/>
      <c r="L93" s="53"/>
      <c r="M93" s="90"/>
      <c r="N93" s="88"/>
      <c r="O93" s="91"/>
      <c r="P93" s="91"/>
      <c r="Q93" s="91"/>
      <c r="R93" s="91"/>
      <c r="S93" s="91"/>
    </row>
    <row r="94" spans="2:19" s="19" customFormat="1" ht="18" customHeight="1" x14ac:dyDescent="0.25">
      <c r="B94" s="10"/>
      <c r="C94" s="10"/>
      <c r="D94" s="10"/>
      <c r="E94" s="10"/>
      <c r="F94" s="10"/>
      <c r="G94" s="10"/>
      <c r="H94" s="10"/>
      <c r="L94" s="53"/>
      <c r="M94" s="90"/>
      <c r="N94" s="89"/>
      <c r="O94" s="91"/>
      <c r="P94" s="91"/>
      <c r="Q94" s="92"/>
      <c r="R94" s="91"/>
      <c r="S94" s="91"/>
    </row>
    <row r="95" spans="2:19" s="19" customFormat="1" ht="18" customHeight="1" x14ac:dyDescent="0.25">
      <c r="B95" s="10"/>
      <c r="C95" s="10"/>
      <c r="D95" s="10"/>
      <c r="E95" s="10"/>
      <c r="F95" s="10"/>
      <c r="G95" s="10"/>
      <c r="H95" s="10"/>
      <c r="L95" s="53"/>
      <c r="M95" s="90"/>
      <c r="N95" s="88"/>
      <c r="O95" s="91"/>
      <c r="P95" s="91"/>
      <c r="Q95" s="91"/>
      <c r="R95" s="91"/>
      <c r="S95" s="91"/>
    </row>
    <row r="96" spans="2:19" s="19" customFormat="1" ht="18" customHeight="1" x14ac:dyDescent="0.25">
      <c r="B96" s="10"/>
      <c r="C96" s="10"/>
      <c r="D96" s="10"/>
      <c r="E96" s="10"/>
      <c r="F96" s="10"/>
      <c r="G96" s="10"/>
      <c r="H96" s="10"/>
      <c r="L96" s="53"/>
      <c r="M96" s="90"/>
      <c r="N96" s="88"/>
      <c r="O96" s="91"/>
      <c r="P96" s="91"/>
      <c r="Q96" s="91"/>
      <c r="R96" s="91"/>
      <c r="S96" s="91"/>
    </row>
    <row r="97" spans="2:12" ht="14.3" customHeight="1" x14ac:dyDescent="0.25">
      <c r="B97" s="10"/>
      <c r="C97" s="10"/>
      <c r="D97" s="10"/>
      <c r="E97" s="10"/>
      <c r="F97" s="10"/>
      <c r="G97" s="10"/>
      <c r="H97" s="10"/>
      <c r="L97" s="46"/>
    </row>
    <row r="98" spans="2:12" ht="14.3" customHeight="1" x14ac:dyDescent="0.25">
      <c r="B98" s="10"/>
      <c r="C98" s="10"/>
      <c r="D98" s="10"/>
      <c r="E98" s="10"/>
      <c r="F98" s="10"/>
      <c r="G98" s="10"/>
      <c r="H98" s="10"/>
      <c r="L98" s="46"/>
    </row>
    <row r="99" spans="2:12" ht="14.3" customHeight="1" x14ac:dyDescent="0.25">
      <c r="B99" s="10"/>
      <c r="C99" s="10"/>
      <c r="D99" s="10"/>
      <c r="E99" s="10"/>
      <c r="F99" s="10"/>
      <c r="G99" s="10"/>
      <c r="H99" s="10"/>
      <c r="L99" s="46"/>
    </row>
    <row r="100" spans="2:12" ht="14.3" customHeight="1" x14ac:dyDescent="0.25">
      <c r="B100" s="10"/>
      <c r="C100" s="10"/>
      <c r="D100" s="10"/>
      <c r="E100" s="10"/>
      <c r="F100" s="10"/>
      <c r="G100" s="10"/>
      <c r="H100" s="10"/>
      <c r="L100" s="46"/>
    </row>
    <row r="101" spans="2:12" ht="14.3" customHeight="1" x14ac:dyDescent="0.25">
      <c r="B101" s="10"/>
      <c r="C101" s="10"/>
      <c r="D101" s="10"/>
      <c r="E101" s="10"/>
      <c r="F101" s="10"/>
      <c r="G101" s="10"/>
      <c r="H101" s="10"/>
      <c r="L101" s="46"/>
    </row>
    <row r="102" spans="2:12" ht="12.9" customHeight="1" x14ac:dyDescent="0.25">
      <c r="B102" s="10"/>
      <c r="C102" s="10"/>
      <c r="D102" s="10"/>
      <c r="E102" s="10"/>
      <c r="F102" s="10"/>
      <c r="G102" s="10"/>
      <c r="H102" s="10"/>
      <c r="L102" s="46"/>
    </row>
    <row r="103" spans="2:12" ht="14.3" customHeight="1" x14ac:dyDescent="0.25">
      <c r="B103" s="10"/>
      <c r="C103" s="10"/>
      <c r="D103" s="10"/>
      <c r="E103" s="10"/>
      <c r="F103" s="10"/>
      <c r="G103" s="10"/>
      <c r="H103" s="10"/>
      <c r="L103" s="46"/>
    </row>
    <row r="104" spans="2:12" ht="14.3" customHeight="1" x14ac:dyDescent="0.25">
      <c r="B104" s="10"/>
      <c r="C104" s="10"/>
      <c r="D104" s="10"/>
      <c r="E104" s="10"/>
      <c r="F104" s="10"/>
      <c r="G104" s="10"/>
      <c r="H104" s="10"/>
      <c r="L104" s="46"/>
    </row>
    <row r="105" spans="2:12" ht="14.3" customHeight="1" x14ac:dyDescent="0.25">
      <c r="B105" s="10"/>
      <c r="C105" s="10"/>
      <c r="D105" s="10"/>
      <c r="E105" s="10"/>
      <c r="F105" s="10"/>
      <c r="G105" s="10"/>
      <c r="H105" s="10"/>
      <c r="I105" s="46"/>
      <c r="J105" s="46"/>
      <c r="K105" s="46"/>
      <c r="L105" s="46"/>
    </row>
    <row r="106" spans="2:12" ht="14.3" customHeight="1" x14ac:dyDescent="0.25">
      <c r="B106" s="10"/>
      <c r="C106" s="10"/>
      <c r="D106" s="10"/>
      <c r="E106" s="10"/>
      <c r="F106" s="10"/>
      <c r="G106" s="10"/>
      <c r="H106" s="10"/>
      <c r="I106" s="28"/>
      <c r="J106" s="28"/>
      <c r="K106" s="28"/>
      <c r="L106" s="93"/>
    </row>
    <row r="107" spans="2:12" ht="14.3" customHeight="1" x14ac:dyDescent="0.25">
      <c r="B107" s="10"/>
      <c r="C107" s="10"/>
      <c r="D107" s="10"/>
      <c r="E107" s="10"/>
      <c r="F107" s="10"/>
      <c r="G107" s="10"/>
      <c r="H107" s="10"/>
      <c r="I107" s="7"/>
      <c r="J107" s="7"/>
      <c r="K107" s="7"/>
      <c r="L107" s="94"/>
    </row>
    <row r="108" spans="2:12" ht="14.3" customHeight="1" x14ac:dyDescent="0.25">
      <c r="B108" s="10"/>
      <c r="C108" s="10"/>
      <c r="D108" s="10"/>
      <c r="E108" s="10"/>
      <c r="F108" s="10"/>
      <c r="G108" s="10"/>
      <c r="H108" s="10"/>
      <c r="I108" s="7"/>
      <c r="J108" s="7"/>
      <c r="K108" s="7"/>
      <c r="L108" s="94"/>
    </row>
    <row r="109" spans="2:12" ht="14.3" customHeight="1" x14ac:dyDescent="0.25">
      <c r="B109" s="10"/>
      <c r="C109" s="10"/>
      <c r="D109" s="10"/>
      <c r="E109" s="10"/>
      <c r="F109" s="10"/>
      <c r="G109" s="10"/>
      <c r="H109" s="10"/>
    </row>
    <row r="110" spans="2:12" ht="14.3" customHeight="1" x14ac:dyDescent="0.25">
      <c r="B110" s="10"/>
      <c r="C110" s="10"/>
      <c r="D110" s="10"/>
      <c r="E110" s="10"/>
      <c r="F110" s="10"/>
      <c r="G110" s="10"/>
      <c r="H110" s="10"/>
    </row>
    <row r="111" spans="2:12" ht="14.3" customHeight="1" x14ac:dyDescent="0.25">
      <c r="B111" s="10"/>
      <c r="C111" s="10"/>
      <c r="D111" s="10"/>
      <c r="E111" s="10"/>
      <c r="F111" s="10"/>
      <c r="G111" s="10"/>
      <c r="H111" s="10"/>
    </row>
    <row r="112" spans="2:12" ht="14.3" customHeight="1" x14ac:dyDescent="0.25">
      <c r="B112" s="10"/>
      <c r="C112" s="10"/>
      <c r="D112" s="10"/>
      <c r="E112" s="10"/>
      <c r="F112" s="10"/>
      <c r="G112" s="10"/>
      <c r="H112" s="10"/>
    </row>
    <row r="113" spans="2:19" ht="14.3" customHeight="1" x14ac:dyDescent="0.25">
      <c r="B113" s="10"/>
      <c r="C113" s="10"/>
      <c r="D113" s="10"/>
      <c r="E113" s="10"/>
      <c r="F113" s="10"/>
      <c r="G113" s="10"/>
      <c r="H113" s="10"/>
    </row>
    <row r="114" spans="2:19" ht="14.3" customHeight="1" x14ac:dyDescent="0.25">
      <c r="B114" s="10"/>
      <c r="C114" s="10"/>
      <c r="D114" s="10"/>
      <c r="E114" s="10"/>
      <c r="F114" s="10"/>
      <c r="G114" s="10"/>
      <c r="H114" s="10"/>
    </row>
    <row r="115" spans="2:19" s="95" customFormat="1" ht="14.3" customHeight="1" x14ac:dyDescent="0.25">
      <c r="B115" s="10"/>
      <c r="C115" s="10"/>
      <c r="D115" s="10"/>
      <c r="E115" s="10"/>
      <c r="F115" s="10"/>
      <c r="G115" s="10"/>
      <c r="H115" s="10"/>
      <c r="I115" s="14"/>
      <c r="J115" s="14"/>
      <c r="K115" s="14"/>
      <c r="L115" s="51"/>
      <c r="M115" s="14"/>
      <c r="N115" s="14"/>
      <c r="O115" s="14"/>
      <c r="P115" s="14"/>
      <c r="Q115" s="14"/>
      <c r="R115" s="14"/>
      <c r="S115" s="14"/>
    </row>
    <row r="116" spans="2:19" s="95" customFormat="1" ht="14.3" customHeight="1" x14ac:dyDescent="0.25">
      <c r="B116" s="10"/>
      <c r="C116" s="10"/>
      <c r="D116" s="10"/>
      <c r="E116" s="10"/>
      <c r="F116" s="10"/>
      <c r="G116" s="10"/>
      <c r="H116" s="10"/>
      <c r="I116" s="14"/>
      <c r="J116" s="14"/>
      <c r="K116" s="14"/>
      <c r="L116" s="51"/>
    </row>
    <row r="117" spans="2:19" ht="14.3" customHeight="1" x14ac:dyDescent="0.25">
      <c r="B117" s="10"/>
      <c r="C117" s="10"/>
      <c r="D117" s="10"/>
      <c r="E117" s="10"/>
      <c r="F117" s="10"/>
      <c r="G117" s="10"/>
      <c r="H117" s="10"/>
      <c r="M117" s="95"/>
      <c r="N117" s="95"/>
      <c r="O117" s="95"/>
      <c r="P117" s="95"/>
      <c r="Q117" s="95"/>
      <c r="R117" s="95"/>
      <c r="S117" s="95"/>
    </row>
    <row r="118" spans="2:19" ht="14.3" customHeight="1" x14ac:dyDescent="0.25">
      <c r="B118" s="10"/>
      <c r="C118" s="10"/>
      <c r="D118" s="10"/>
      <c r="E118" s="10"/>
      <c r="F118" s="10"/>
      <c r="G118" s="10"/>
      <c r="H118" s="10"/>
    </row>
    <row r="119" spans="2:19" ht="14.3" customHeight="1" x14ac:dyDescent="0.25">
      <c r="B119" s="10"/>
      <c r="C119" s="10"/>
      <c r="D119" s="10"/>
      <c r="E119" s="10"/>
      <c r="F119" s="10"/>
      <c r="G119" s="10"/>
      <c r="H119" s="10"/>
    </row>
    <row r="120" spans="2:19" ht="14.3" customHeight="1" x14ac:dyDescent="0.25">
      <c r="B120" s="10"/>
      <c r="C120" s="10"/>
      <c r="D120" s="10"/>
      <c r="E120" s="10"/>
      <c r="F120" s="10"/>
      <c r="G120" s="10"/>
      <c r="H120" s="10"/>
      <c r="L120" s="96"/>
    </row>
    <row r="121" spans="2:19" ht="14.3" customHeight="1" x14ac:dyDescent="0.25">
      <c r="B121" s="10"/>
      <c r="C121" s="10"/>
      <c r="D121" s="10"/>
      <c r="E121" s="10"/>
      <c r="F121" s="10"/>
      <c r="G121" s="10"/>
      <c r="H121" s="10"/>
      <c r="I121" s="97"/>
      <c r="J121" s="97"/>
      <c r="K121" s="97"/>
      <c r="L121" s="97"/>
    </row>
    <row r="122" spans="2:19" ht="14.3" customHeight="1" x14ac:dyDescent="0.25">
      <c r="B122" s="10"/>
      <c r="C122" s="10"/>
      <c r="D122" s="10"/>
      <c r="E122" s="10"/>
      <c r="F122" s="10"/>
      <c r="G122" s="10"/>
      <c r="H122" s="10"/>
      <c r="L122" s="98"/>
    </row>
    <row r="123" spans="2:19" ht="14.3" customHeight="1" x14ac:dyDescent="0.25">
      <c r="B123" s="111"/>
      <c r="C123" s="10"/>
      <c r="D123" s="10"/>
      <c r="E123" s="10"/>
      <c r="F123" s="10"/>
      <c r="G123" s="10"/>
      <c r="H123" s="10"/>
      <c r="L123" s="99"/>
    </row>
    <row r="124" spans="2:19" ht="14.3" customHeight="1" x14ac:dyDescent="0.25">
      <c r="B124" s="112"/>
      <c r="C124" s="10"/>
      <c r="D124" s="10"/>
      <c r="E124" s="10"/>
      <c r="F124" s="10"/>
      <c r="G124" s="10"/>
      <c r="H124" s="10"/>
      <c r="L124" s="98"/>
    </row>
    <row r="125" spans="2:19" ht="14.3" customHeight="1" x14ac:dyDescent="0.25">
      <c r="B125" s="10"/>
      <c r="C125" s="10"/>
      <c r="D125" s="10"/>
      <c r="E125" s="10"/>
      <c r="F125" s="10"/>
      <c r="G125" s="10"/>
      <c r="H125" s="10"/>
      <c r="L125" s="96"/>
    </row>
    <row r="126" spans="2:19" ht="14.3" customHeight="1" x14ac:dyDescent="0.25">
      <c r="B126" s="10"/>
      <c r="C126" s="10"/>
      <c r="D126" s="10"/>
      <c r="E126" s="10"/>
      <c r="F126" s="10"/>
      <c r="G126" s="10"/>
      <c r="H126" s="10"/>
      <c r="L126" s="96"/>
    </row>
    <row r="127" spans="2:19" ht="14.3" customHeight="1" x14ac:dyDescent="0.25">
      <c r="B127" s="10"/>
      <c r="C127" s="10"/>
      <c r="D127" s="10"/>
      <c r="E127" s="10"/>
      <c r="F127" s="10"/>
      <c r="G127" s="10"/>
      <c r="H127" s="10"/>
      <c r="L127" s="100"/>
    </row>
    <row r="128" spans="2:19" s="95" customFormat="1" ht="14.3" customHeight="1" x14ac:dyDescent="0.25">
      <c r="B128" s="10"/>
      <c r="C128" s="10"/>
      <c r="D128" s="10"/>
      <c r="E128" s="10"/>
      <c r="F128" s="10"/>
      <c r="G128" s="10"/>
      <c r="H128" s="10"/>
      <c r="I128" s="14"/>
      <c r="J128" s="14"/>
      <c r="K128" s="14"/>
      <c r="L128" s="96"/>
      <c r="M128" s="14"/>
      <c r="N128" s="14"/>
      <c r="O128" s="14"/>
      <c r="P128" s="14"/>
      <c r="Q128" s="14"/>
      <c r="R128" s="14"/>
      <c r="S128" s="14"/>
    </row>
    <row r="129" spans="2:19" ht="14.3" customHeight="1" x14ac:dyDescent="0.25">
      <c r="B129" s="10"/>
      <c r="C129" s="10"/>
      <c r="D129" s="10"/>
      <c r="E129" s="10"/>
      <c r="F129" s="10"/>
      <c r="G129" s="10"/>
      <c r="H129" s="10"/>
      <c r="L129" s="96"/>
      <c r="M129" s="95"/>
      <c r="N129" s="95"/>
      <c r="O129" s="95"/>
      <c r="P129" s="95"/>
      <c r="Q129" s="95"/>
      <c r="R129" s="95"/>
      <c r="S129" s="95"/>
    </row>
    <row r="130" spans="2:19" ht="14.3" customHeight="1" x14ac:dyDescent="0.25">
      <c r="B130" s="10"/>
      <c r="C130" s="10"/>
      <c r="D130" s="10"/>
      <c r="E130" s="10"/>
      <c r="F130" s="10"/>
      <c r="G130" s="10"/>
      <c r="H130" s="10"/>
      <c r="L130" s="96"/>
    </row>
    <row r="131" spans="2:19" ht="14.3" customHeight="1" x14ac:dyDescent="0.25">
      <c r="B131" s="10"/>
      <c r="C131" s="10"/>
      <c r="D131" s="10"/>
      <c r="E131" s="10"/>
      <c r="F131" s="10"/>
      <c r="G131" s="10"/>
      <c r="H131" s="10"/>
    </row>
    <row r="132" spans="2:19" ht="14.3" customHeight="1" x14ac:dyDescent="0.25">
      <c r="B132" s="10"/>
      <c r="C132" s="10"/>
      <c r="D132" s="10"/>
      <c r="E132" s="10"/>
      <c r="F132" s="10"/>
      <c r="G132" s="10"/>
      <c r="H132" s="10"/>
      <c r="L132" s="101"/>
    </row>
    <row r="133" spans="2:19" ht="14.3" customHeight="1" x14ac:dyDescent="0.25">
      <c r="B133" s="10"/>
      <c r="C133" s="10"/>
      <c r="D133" s="10"/>
      <c r="E133" s="10"/>
      <c r="F133" s="10"/>
      <c r="G133" s="10"/>
      <c r="H133" s="10"/>
      <c r="L133" s="98"/>
    </row>
    <row r="134" spans="2:19" ht="14.3" customHeight="1" x14ac:dyDescent="0.25">
      <c r="B134" s="111"/>
      <c r="C134" s="10"/>
      <c r="D134" s="10"/>
      <c r="E134" s="10"/>
      <c r="F134" s="10"/>
      <c r="G134" s="10"/>
      <c r="H134" s="10"/>
      <c r="L134" s="99"/>
    </row>
    <row r="135" spans="2:19" ht="14.3" customHeight="1" x14ac:dyDescent="0.25">
      <c r="B135" s="112"/>
      <c r="C135" s="10"/>
      <c r="D135" s="10"/>
      <c r="E135" s="10"/>
      <c r="F135" s="10"/>
      <c r="G135" s="10"/>
      <c r="H135" s="10"/>
      <c r="L135" s="98"/>
    </row>
    <row r="136" spans="2:19" ht="14.3" customHeight="1" x14ac:dyDescent="0.25">
      <c r="B136" s="10"/>
      <c r="C136" s="10"/>
      <c r="D136" s="10"/>
      <c r="E136" s="10"/>
      <c r="F136" s="10"/>
      <c r="G136" s="10"/>
      <c r="H136" s="10"/>
      <c r="L136" s="96"/>
    </row>
    <row r="137" spans="2:19" ht="14.3" customHeight="1" x14ac:dyDescent="0.25">
      <c r="B137" s="10"/>
      <c r="C137" s="10"/>
      <c r="D137" s="10"/>
      <c r="E137" s="10"/>
      <c r="F137" s="10"/>
      <c r="G137" s="10"/>
      <c r="H137" s="10"/>
    </row>
    <row r="138" spans="2:19" ht="14.3" customHeight="1" x14ac:dyDescent="0.25">
      <c r="B138" s="10"/>
      <c r="C138" s="10"/>
      <c r="D138" s="10"/>
      <c r="E138" s="10"/>
      <c r="F138" s="10"/>
      <c r="G138" s="10"/>
      <c r="H138" s="10"/>
      <c r="L138" s="96"/>
    </row>
    <row r="139" spans="2:19" ht="14.3" customHeight="1" x14ac:dyDescent="0.25">
      <c r="B139" s="10"/>
      <c r="C139" s="10"/>
      <c r="D139" s="10"/>
      <c r="E139" s="10"/>
      <c r="F139" s="10"/>
      <c r="G139" s="10"/>
      <c r="H139" s="10"/>
      <c r="L139" s="96"/>
    </row>
    <row r="140" spans="2:19" ht="14.3" customHeight="1" x14ac:dyDescent="0.25">
      <c r="B140" s="10"/>
      <c r="C140" s="10"/>
      <c r="D140" s="10"/>
      <c r="E140" s="10"/>
      <c r="F140" s="10"/>
      <c r="G140" s="10"/>
      <c r="H140" s="10"/>
      <c r="L140" s="96"/>
    </row>
    <row r="141" spans="2:19" ht="14.3" customHeight="1" x14ac:dyDescent="0.25">
      <c r="B141" s="10"/>
      <c r="C141" s="10"/>
      <c r="D141" s="10"/>
      <c r="E141" s="10"/>
      <c r="F141" s="10"/>
      <c r="G141" s="10"/>
      <c r="H141" s="10"/>
      <c r="L141" s="96"/>
    </row>
    <row r="142" spans="2:19" ht="14.3" customHeight="1" x14ac:dyDescent="0.25">
      <c r="B142" s="10"/>
      <c r="C142" s="10"/>
      <c r="D142" s="10"/>
      <c r="E142" s="10"/>
      <c r="F142" s="10"/>
      <c r="G142" s="10"/>
      <c r="H142" s="10"/>
      <c r="L142" s="96"/>
    </row>
    <row r="143" spans="2:19" ht="14.3" customHeight="1" x14ac:dyDescent="0.25">
      <c r="B143" s="10"/>
      <c r="C143" s="10"/>
      <c r="D143" s="10"/>
      <c r="E143" s="10"/>
      <c r="F143" s="10"/>
      <c r="G143" s="10"/>
      <c r="H143" s="10"/>
      <c r="L143" s="96"/>
    </row>
    <row r="144" spans="2:19" ht="14.3" customHeight="1" x14ac:dyDescent="0.25">
      <c r="B144" s="10"/>
      <c r="C144" s="10"/>
      <c r="D144" s="10"/>
      <c r="E144" s="10"/>
      <c r="F144" s="10"/>
      <c r="G144" s="10"/>
      <c r="H144" s="10"/>
      <c r="L144" s="96"/>
    </row>
    <row r="145" spans="2:12" ht="14.3" customHeight="1" x14ac:dyDescent="0.25">
      <c r="B145" s="10"/>
      <c r="C145" s="10"/>
      <c r="D145" s="10"/>
      <c r="E145" s="10"/>
      <c r="F145" s="10"/>
      <c r="G145" s="10"/>
      <c r="H145" s="10"/>
      <c r="L145" s="99"/>
    </row>
    <row r="146" spans="2:12" ht="14.3" customHeight="1" x14ac:dyDescent="0.25">
      <c r="B146" s="10"/>
      <c r="C146" s="10"/>
      <c r="D146" s="10"/>
      <c r="E146" s="10"/>
      <c r="F146" s="10"/>
      <c r="G146" s="10"/>
      <c r="H146" s="10"/>
      <c r="L146" s="101"/>
    </row>
    <row r="147" spans="2:12" ht="14.3" customHeight="1" x14ac:dyDescent="0.25">
      <c r="B147" s="10"/>
      <c r="C147" s="10"/>
      <c r="D147" s="10"/>
      <c r="E147" s="10"/>
      <c r="F147" s="10"/>
      <c r="G147" s="10"/>
      <c r="H147" s="10"/>
      <c r="L147" s="98"/>
    </row>
    <row r="148" spans="2:12" ht="14.3" customHeight="1" x14ac:dyDescent="0.25">
      <c r="B148" s="111"/>
      <c r="C148" s="10"/>
      <c r="D148" s="10"/>
      <c r="E148" s="10"/>
      <c r="F148" s="10"/>
      <c r="G148" s="10"/>
      <c r="H148" s="10"/>
      <c r="L148" s="99"/>
    </row>
    <row r="149" spans="2:12" ht="14.3" customHeight="1" x14ac:dyDescent="0.25">
      <c r="B149" s="112"/>
      <c r="C149" s="10"/>
      <c r="D149" s="10"/>
      <c r="E149" s="10"/>
      <c r="F149" s="10"/>
      <c r="G149" s="10"/>
      <c r="H149" s="10"/>
      <c r="L149" s="98"/>
    </row>
    <row r="150" spans="2:12" ht="14.3" customHeight="1" x14ac:dyDescent="0.25">
      <c r="B150" s="10"/>
      <c r="C150" s="10"/>
      <c r="D150" s="10"/>
      <c r="E150" s="10"/>
      <c r="F150" s="10"/>
      <c r="G150" s="10"/>
      <c r="H150" s="10"/>
      <c r="L150" s="99"/>
    </row>
    <row r="151" spans="2:12" ht="14.3" customHeight="1" x14ac:dyDescent="0.25">
      <c r="B151" s="10"/>
      <c r="C151" s="10"/>
      <c r="D151" s="10"/>
      <c r="E151" s="10"/>
      <c r="F151" s="10"/>
      <c r="G151" s="10"/>
      <c r="H151" s="10"/>
      <c r="L151" s="99"/>
    </row>
    <row r="152" spans="2:12" ht="14.3" customHeight="1" x14ac:dyDescent="0.25">
      <c r="B152" s="10"/>
      <c r="C152" s="10"/>
      <c r="D152" s="10"/>
      <c r="E152" s="10"/>
      <c r="F152" s="10"/>
      <c r="G152" s="10"/>
      <c r="H152" s="10"/>
      <c r="L152" s="99"/>
    </row>
    <row r="153" spans="2:12" ht="14.3" customHeight="1" x14ac:dyDescent="0.25">
      <c r="B153" s="10"/>
      <c r="C153" s="10"/>
      <c r="D153" s="10"/>
      <c r="E153" s="10"/>
      <c r="F153" s="10"/>
      <c r="G153" s="10"/>
      <c r="H153" s="10"/>
      <c r="L153" s="99"/>
    </row>
    <row r="154" spans="2:12" ht="14.3" customHeight="1" x14ac:dyDescent="0.25">
      <c r="B154" s="10"/>
      <c r="C154" s="10"/>
      <c r="D154" s="10"/>
      <c r="E154" s="10"/>
      <c r="F154" s="10"/>
      <c r="G154" s="10"/>
      <c r="H154" s="10"/>
      <c r="L154" s="99"/>
    </row>
    <row r="155" spans="2:12" ht="14.3" customHeight="1" x14ac:dyDescent="0.25">
      <c r="B155" s="10"/>
      <c r="C155" s="10"/>
      <c r="D155" s="10"/>
      <c r="E155" s="10"/>
      <c r="F155" s="10"/>
      <c r="G155" s="10"/>
      <c r="H155" s="10"/>
      <c r="L155" s="99"/>
    </row>
    <row r="156" spans="2:12" ht="14.3" customHeight="1" x14ac:dyDescent="0.25">
      <c r="B156" s="10"/>
      <c r="C156" s="10"/>
      <c r="D156" s="10"/>
      <c r="E156" s="10"/>
      <c r="F156" s="10"/>
      <c r="G156" s="10"/>
      <c r="H156" s="10"/>
      <c r="L156" s="99"/>
    </row>
    <row r="157" spans="2:12" ht="14.3" customHeight="1" x14ac:dyDescent="0.25">
      <c r="B157" s="10"/>
      <c r="C157" s="10"/>
      <c r="D157" s="10"/>
      <c r="E157" s="10"/>
      <c r="F157" s="10"/>
      <c r="G157" s="10"/>
      <c r="H157" s="10"/>
      <c r="L157" s="99"/>
    </row>
    <row r="158" spans="2:12" ht="14.3" customHeight="1" x14ac:dyDescent="0.25">
      <c r="B158" s="10"/>
      <c r="C158" s="10"/>
      <c r="D158" s="10"/>
      <c r="E158" s="10"/>
      <c r="F158" s="10"/>
      <c r="G158" s="10"/>
      <c r="H158" s="10"/>
      <c r="L158" s="99"/>
    </row>
    <row r="159" spans="2:12" ht="14.3" customHeight="1" x14ac:dyDescent="0.25">
      <c r="B159" s="10"/>
      <c r="C159" s="10"/>
      <c r="D159" s="10"/>
      <c r="E159" s="10"/>
      <c r="F159" s="10"/>
      <c r="G159" s="10"/>
      <c r="H159" s="10"/>
      <c r="L159" s="99"/>
    </row>
    <row r="160" spans="2:12" x14ac:dyDescent="0.25">
      <c r="B160" s="102"/>
      <c r="C160" s="99"/>
      <c r="D160" s="99"/>
      <c r="E160" s="99"/>
      <c r="L160" s="99"/>
    </row>
    <row r="161" spans="2:12" x14ac:dyDescent="0.25">
      <c r="B161" s="102"/>
      <c r="C161" s="99"/>
      <c r="D161" s="99"/>
      <c r="E161" s="99"/>
      <c r="L161" s="99"/>
    </row>
    <row r="162" spans="2:12" x14ac:dyDescent="0.25">
      <c r="B162" s="102"/>
      <c r="C162" s="99"/>
      <c r="D162" s="99"/>
      <c r="E162" s="99"/>
      <c r="L162" s="99"/>
    </row>
    <row r="163" spans="2:12" x14ac:dyDescent="0.25">
      <c r="B163" s="102"/>
      <c r="C163" s="99"/>
      <c r="D163" s="99"/>
      <c r="E163" s="99"/>
      <c r="L163" s="99"/>
    </row>
    <row r="164" spans="2:12" x14ac:dyDescent="0.25">
      <c r="B164" s="102"/>
      <c r="C164" s="99"/>
      <c r="D164" s="99"/>
      <c r="E164" s="99"/>
      <c r="L164" s="99"/>
    </row>
    <row r="165" spans="2:12" x14ac:dyDescent="0.25">
      <c r="B165" s="102"/>
      <c r="C165" s="99"/>
      <c r="D165" s="99"/>
      <c r="E165" s="99"/>
      <c r="L165" s="99"/>
    </row>
  </sheetData>
  <autoFilter ref="B7" xr:uid="{00000000-0001-0000-0100-000000000000}"/>
  <mergeCells count="11">
    <mergeCell ref="O67:S67"/>
    <mergeCell ref="B2:C3"/>
    <mergeCell ref="C9:E9"/>
    <mergeCell ref="G9:J9"/>
    <mergeCell ref="L9:O9"/>
    <mergeCell ref="B33:C33"/>
    <mergeCell ref="M89:S89"/>
    <mergeCell ref="O90:S90"/>
    <mergeCell ref="B123:B124"/>
    <mergeCell ref="B134:B135"/>
    <mergeCell ref="B148:B149"/>
  </mergeCells>
  <pageMargins left="0.3" right="0.3" top="0.3" bottom="0.3" header="0" footer="0"/>
  <pageSetup paperSize="9" scale="88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CCA</vt:lpstr>
      <vt:lpstr>AAPL_CCA</vt:lpstr>
      <vt:lpstr>SNAP_CCA</vt:lpstr>
      <vt:lpstr>AAPL_CCA!EV</vt:lpstr>
      <vt:lpstr>CCA!EV</vt:lpstr>
      <vt:lpstr>SNAP_CCA!EV</vt:lpstr>
      <vt:lpstr>AAPL_CCA!Print_Area</vt:lpstr>
      <vt:lpstr>CCA!Print_Area</vt:lpstr>
      <vt:lpstr>SNAP_CCA!Print_Area</vt:lpstr>
      <vt:lpstr>AAPL_CCA!WACC</vt:lpstr>
      <vt:lpstr>CCA!WACC</vt:lpstr>
      <vt:lpstr>SNAP_CCA!WACC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Romin Gandhi</dc:creator>
  <cp:lastModifiedBy>Romin Gandhi</cp:lastModifiedBy>
  <dcterms:created xsi:type="dcterms:W3CDTF">2025-04-10T15:56:39Z</dcterms:created>
  <dcterms:modified xsi:type="dcterms:W3CDTF">2025-04-11T16:40:17Z</dcterms:modified>
</cp:coreProperties>
</file>